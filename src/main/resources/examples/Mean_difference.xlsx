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#10 Travaux 2026\#3 Syntaxes R\R Meta Java App\Examlpe datasets\"/>
    </mc:Choice>
  </mc:AlternateContent>
  <xr:revisionPtr revIDLastSave="0" documentId="13_ncr:1_{6CE61A9A-9F37-4740-AB80-115F24033E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6" i="1"/>
  <c r="J9" i="1"/>
  <c r="J4" i="1"/>
  <c r="J5" i="1"/>
  <c r="J6" i="1"/>
  <c r="J7" i="1"/>
  <c r="J3" i="1"/>
</calcChain>
</file>

<file path=xl/sharedStrings.xml><?xml version="1.0" encoding="utf-8"?>
<sst xmlns="http://schemas.openxmlformats.org/spreadsheetml/2006/main" count="82" uniqueCount="56">
  <si>
    <t>Study</t>
  </si>
  <si>
    <t>Ethnicity</t>
  </si>
  <si>
    <t>Age</t>
  </si>
  <si>
    <t>Ahmadi 2017</t>
  </si>
  <si>
    <t>Asian</t>
  </si>
  <si>
    <t>Scl70 Ab</t>
  </si>
  <si>
    <t>ACA</t>
  </si>
  <si>
    <t>Arnson 2011</t>
  </si>
  <si>
    <t>dSSc (%)</t>
  </si>
  <si>
    <t>lSSc (%)</t>
  </si>
  <si>
    <t>Atteritano 2013</t>
  </si>
  <si>
    <t>mRSS</t>
  </si>
  <si>
    <t>Atteritano 2016</t>
  </si>
  <si>
    <t>Caucasian</t>
  </si>
  <si>
    <t>ILD</t>
  </si>
  <si>
    <t>Corrado 2015</t>
  </si>
  <si>
    <t>Corrado 2022</t>
  </si>
  <si>
    <t>PAH</t>
  </si>
  <si>
    <t>El Gharbawy 2021</t>
  </si>
  <si>
    <t>Middle-Eastern</t>
  </si>
  <si>
    <t>Hajialilo 2017</t>
  </si>
  <si>
    <t>Hax 2020</t>
  </si>
  <si>
    <t>South-American</t>
  </si>
  <si>
    <t>Horvàth 2019</t>
  </si>
  <si>
    <t>Isola 2021</t>
  </si>
  <si>
    <t>Jud 2023</t>
  </si>
  <si>
    <t>Kotyla 2018</t>
  </si>
  <si>
    <t>Lee 2022</t>
  </si>
  <si>
    <t>Lo Gullo 2021</t>
  </si>
  <si>
    <t>Calzolari 2009</t>
  </si>
  <si>
    <t>Montabone 2016</t>
  </si>
  <si>
    <t>Omelchenko 2021</t>
  </si>
  <si>
    <t>Park 2017</t>
  </si>
  <si>
    <t>Shinjo 2011</t>
  </si>
  <si>
    <t>Taylan 2018</t>
  </si>
  <si>
    <t>Zhang 2017</t>
  </si>
  <si>
    <t>Isola 2021 (SSc + PO)</t>
  </si>
  <si>
    <t>Seriolo 2011 (Fall)</t>
  </si>
  <si>
    <t>Seriolo 2011 (Winter)</t>
  </si>
  <si>
    <t>Seriolo 2011 (Spring)</t>
  </si>
  <si>
    <t>Seriolo 2011 (Summer)</t>
  </si>
  <si>
    <t>Gender-ratio (M/F)</t>
  </si>
  <si>
    <t>dSSc/lSSc</t>
  </si>
  <si>
    <t>Ibn Yacoub 2012</t>
  </si>
  <si>
    <t>Orbach 2007</t>
  </si>
  <si>
    <t>Sirufo 2021</t>
  </si>
  <si>
    <t>Difference in means</t>
  </si>
  <si>
    <t>Std Err</t>
  </si>
  <si>
    <t>Variance</t>
  </si>
  <si>
    <t>year</t>
  </si>
  <si>
    <t>N_controls</t>
  </si>
  <si>
    <t>Mean controls</t>
  </si>
  <si>
    <t>Mean experimental</t>
  </si>
  <si>
    <t>SD experimental</t>
  </si>
  <si>
    <t>N_experimental</t>
  </si>
  <si>
    <t>SD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</si>
</sst>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7" sqref="R7"/>
    </sheetView>
  </sheetViews>
  <sheetFormatPr defaultRowHeight="15" x14ac:dyDescent="0.25"/>
  <cols>
    <col min="1" max="1" width="21.42578125" bestFit="1" customWidth="1"/>
    <col min="2" max="2" width="9.42578125" bestFit="1" customWidth="1"/>
    <col min="3" max="3" width="15.42578125" style="2" bestFit="1" customWidth="1"/>
    <col min="4" max="4" width="9" style="2" bestFit="1" customWidth="1"/>
    <col min="5" max="5" width="23" style="2" bestFit="1" customWidth="1"/>
    <col min="6" max="6" width="12.85546875" style="2" bestFit="1" customWidth="1"/>
    <col min="7" max="7" width="9.28515625" style="2" bestFit="1" customWidth="1"/>
    <col min="8" max="8" width="13" style="2" bestFit="1" customWidth="1"/>
    <col min="9" max="9" width="12.42578125" style="2" bestFit="1" customWidth="1"/>
    <col min="10" max="10" width="12.42578125" style="2" customWidth="1"/>
    <col min="11" max="12" width="11" style="4" customWidth="1"/>
    <col min="13" max="13" width="15.28515625" style="4" bestFit="1" customWidth="1"/>
    <col min="14" max="14" width="23.42578125" style="4" bestFit="1" customWidth="1"/>
    <col min="15" max="15" width="32.85546875" style="4" bestFit="1" customWidth="1"/>
    <col min="16" max="16" width="17" style="2" bestFit="1" customWidth="1"/>
    <col min="17" max="17" width="19.28515625" style="2" bestFit="1" customWidth="1"/>
    <col min="18" max="18" width="15.42578125" style="2" bestFit="1" customWidth="1"/>
    <col min="19" max="19" width="15.140625" style="2" bestFit="1" customWidth="1"/>
    <col min="20" max="20" width="19.140625" style="2" bestFit="1" customWidth="1"/>
    <col min="21" max="21" width="19.140625" style="2" customWidth="1"/>
    <col min="22" max="22" width="12" style="2" bestFit="1" customWidth="1"/>
    <col min="23" max="54" width="9.140625" style="2"/>
  </cols>
  <sheetData>
    <row r="1" spans="1:22" s="1" customFormat="1" x14ac:dyDescent="0.25">
      <c r="A1" s="1" t="s">
        <v>0</v>
      </c>
      <c r="B1" s="1" t="s">
        <v>49</v>
      </c>
      <c r="C1" s="1" t="s">
        <v>1</v>
      </c>
      <c r="D1" s="1" t="s">
        <v>2</v>
      </c>
      <c r="E1" s="1" t="s">
        <v>41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42</v>
      </c>
      <c r="K1" s="3" t="s">
        <v>14</v>
      </c>
      <c r="L1" s="3" t="s">
        <v>17</v>
      </c>
      <c r="M1" s="3" t="s">
        <v>11</v>
      </c>
      <c r="N1" s="3" t="s">
        <v>52</v>
      </c>
      <c r="O1" s="3" t="s">
        <v>53</v>
      </c>
      <c r="P1" s="1" t="s">
        <v>54</v>
      </c>
      <c r="Q1" s="1" t="s">
        <v>51</v>
      </c>
      <c r="R1" s="1" t="s">
        <v>55</v>
      </c>
      <c r="S1" s="1" t="s">
        <v>50</v>
      </c>
      <c r="T1" s="1" t="s">
        <v>46</v>
      </c>
      <c r="U1" s="2" t="s">
        <v>48</v>
      </c>
      <c r="V1" s="1" t="s">
        <v>47</v>
      </c>
    </row>
    <row r="2" spans="1:22" x14ac:dyDescent="0.25">
      <c r="A2" t="s">
        <v>3</v>
      </c>
      <c r="B2">
        <v>2017</v>
      </c>
      <c r="C2" s="2" t="s">
        <v>4</v>
      </c>
      <c r="D2" s="2">
        <v>46.15</v>
      </c>
      <c r="E2" s="2">
        <v>0.13200000000000001</v>
      </c>
      <c r="F2" s="6">
        <v>0.56699999999999995</v>
      </c>
      <c r="G2" s="6">
        <v>0.02</v>
      </c>
      <c r="H2" s="6"/>
      <c r="I2" s="6"/>
      <c r="J2" s="6"/>
      <c r="K2" s="6">
        <v>0.56699999999999995</v>
      </c>
      <c r="L2" s="6"/>
      <c r="N2" s="4">
        <v>15.01</v>
      </c>
      <c r="O2" s="4">
        <v>4.71</v>
      </c>
      <c r="P2" s="2">
        <v>60</v>
      </c>
      <c r="Q2" s="2">
        <v>27.23</v>
      </c>
      <c r="R2" s="2">
        <v>8.66</v>
      </c>
      <c r="S2" s="2">
        <v>30</v>
      </c>
      <c r="T2" s="2">
        <v>-12.22</v>
      </c>
      <c r="U2" s="2">
        <v>1.9793944886363599</v>
      </c>
      <c r="V2" s="2">
        <v>1.40690955240071</v>
      </c>
    </row>
    <row r="3" spans="1:22" x14ac:dyDescent="0.25">
      <c r="A3" t="s">
        <v>7</v>
      </c>
      <c r="B3">
        <v>2011</v>
      </c>
      <c r="C3" s="2" t="s">
        <v>13</v>
      </c>
      <c r="D3" s="2">
        <v>56.7</v>
      </c>
      <c r="E3" s="2">
        <v>0.14299999999999999</v>
      </c>
      <c r="F3" s="6">
        <v>0.24099999999999999</v>
      </c>
      <c r="G3" s="6"/>
      <c r="H3" s="6">
        <v>0.28000000000000003</v>
      </c>
      <c r="I3" s="6">
        <v>0.72</v>
      </c>
      <c r="J3" s="6">
        <f>H3/I3</f>
        <v>0.38888888888888895</v>
      </c>
      <c r="K3" s="6">
        <v>0.61099999999999999</v>
      </c>
      <c r="L3" s="6"/>
      <c r="N3" s="4">
        <v>13.5</v>
      </c>
      <c r="O3" s="4">
        <v>9</v>
      </c>
      <c r="P3" s="2">
        <v>327</v>
      </c>
      <c r="Q3" s="2">
        <v>21.6</v>
      </c>
      <c r="R3" s="2">
        <v>9.6999999999999993</v>
      </c>
      <c r="S3" s="2">
        <v>141</v>
      </c>
      <c r="T3" s="2">
        <v>-8.1</v>
      </c>
      <c r="U3" s="2">
        <v>0.86209176992759196</v>
      </c>
      <c r="V3" s="2">
        <v>0.92848897135485298</v>
      </c>
    </row>
    <row r="4" spans="1:22" x14ac:dyDescent="0.25">
      <c r="A4" t="s">
        <v>10</v>
      </c>
      <c r="B4">
        <v>2013</v>
      </c>
      <c r="C4" s="2" t="s">
        <v>13</v>
      </c>
      <c r="D4" s="2">
        <v>54.43</v>
      </c>
      <c r="E4" s="2">
        <v>0</v>
      </c>
      <c r="F4" s="6"/>
      <c r="G4" s="6"/>
      <c r="H4" s="6">
        <v>0.37</v>
      </c>
      <c r="I4" s="6">
        <v>0.63</v>
      </c>
      <c r="J4" s="6">
        <f t="shared" ref="J4:J16" si="0">H4/I4</f>
        <v>0.58730158730158732</v>
      </c>
      <c r="K4" s="6"/>
      <c r="L4" s="6"/>
      <c r="N4" s="4">
        <v>18.29</v>
      </c>
      <c r="O4" s="4">
        <v>4.05</v>
      </c>
      <c r="P4" s="2">
        <v>54</v>
      </c>
      <c r="Q4" s="2">
        <v>39.57</v>
      </c>
      <c r="R4" s="2">
        <v>7.5</v>
      </c>
      <c r="S4" s="2">
        <v>54</v>
      </c>
      <c r="T4" s="2">
        <v>-21.28</v>
      </c>
      <c r="U4" s="2">
        <v>1.34541666666667</v>
      </c>
      <c r="V4" s="2">
        <v>1.1599209743196599</v>
      </c>
    </row>
    <row r="5" spans="1:22" x14ac:dyDescent="0.25">
      <c r="A5" t="s">
        <v>12</v>
      </c>
      <c r="B5">
        <v>2016</v>
      </c>
      <c r="C5" s="2" t="s">
        <v>13</v>
      </c>
      <c r="D5" s="2">
        <v>58.47</v>
      </c>
      <c r="E5" s="2">
        <v>5.2999999999999999E-2</v>
      </c>
      <c r="F5" s="6">
        <v>0.35</v>
      </c>
      <c r="G5" s="6">
        <v>0.15</v>
      </c>
      <c r="H5" s="6">
        <v>0.7</v>
      </c>
      <c r="I5" s="6">
        <v>0.3</v>
      </c>
      <c r="J5" s="6">
        <f t="shared" si="0"/>
        <v>2.3333333333333335</v>
      </c>
      <c r="K5" s="6">
        <v>0.44</v>
      </c>
      <c r="L5" s="6">
        <v>0.24</v>
      </c>
      <c r="M5" s="4">
        <v>10.45</v>
      </c>
      <c r="N5" s="4">
        <v>25.77</v>
      </c>
      <c r="O5" s="4">
        <v>12.84</v>
      </c>
      <c r="P5" s="2">
        <v>40</v>
      </c>
      <c r="Q5" s="2">
        <v>35.08</v>
      </c>
      <c r="R5" s="2">
        <v>9.07</v>
      </c>
      <c r="S5" s="2">
        <v>40</v>
      </c>
      <c r="T5" s="2">
        <v>-9.31</v>
      </c>
      <c r="U5" s="2">
        <v>6.1782624999999998</v>
      </c>
      <c r="V5" s="2">
        <v>2.4856110918645302</v>
      </c>
    </row>
    <row r="6" spans="1:22" x14ac:dyDescent="0.25">
      <c r="A6" t="s">
        <v>29</v>
      </c>
      <c r="B6">
        <v>2009</v>
      </c>
      <c r="C6" s="2" t="s">
        <v>13</v>
      </c>
      <c r="D6" s="2">
        <v>58</v>
      </c>
      <c r="E6" s="2">
        <v>0.25</v>
      </c>
      <c r="F6" s="6">
        <v>0.4</v>
      </c>
      <c r="G6" s="6">
        <v>0.4</v>
      </c>
      <c r="H6" s="6">
        <v>0.22</v>
      </c>
      <c r="I6" s="6">
        <v>0.78</v>
      </c>
      <c r="J6" s="6">
        <f t="shared" si="0"/>
        <v>0.28205128205128205</v>
      </c>
      <c r="K6" s="6">
        <v>0.53</v>
      </c>
      <c r="L6" s="6">
        <v>0.56999999999999995</v>
      </c>
      <c r="N6" s="4">
        <v>23</v>
      </c>
      <c r="O6" s="4">
        <v>22.25</v>
      </c>
      <c r="P6" s="2">
        <v>60</v>
      </c>
      <c r="Q6" s="2">
        <v>39</v>
      </c>
      <c r="R6" s="2">
        <v>31</v>
      </c>
      <c r="S6" s="2">
        <v>60</v>
      </c>
      <c r="T6" s="2">
        <v>-16</v>
      </c>
      <c r="U6" s="2">
        <v>24.267708333333299</v>
      </c>
      <c r="V6" s="2">
        <v>4.9262265816072004</v>
      </c>
    </row>
    <row r="7" spans="1:22" x14ac:dyDescent="0.25">
      <c r="A7" t="s">
        <v>15</v>
      </c>
      <c r="B7">
        <v>2015</v>
      </c>
      <c r="C7" s="2" t="s">
        <v>13</v>
      </c>
      <c r="D7" s="2">
        <v>64.5</v>
      </c>
      <c r="E7" s="2">
        <v>0</v>
      </c>
      <c r="F7" s="6">
        <v>0.51600000000000001</v>
      </c>
      <c r="G7" s="6">
        <v>0.48399999999999999</v>
      </c>
      <c r="H7" s="6">
        <v>0.48399999999999999</v>
      </c>
      <c r="I7" s="6">
        <v>0.51600000000000001</v>
      </c>
      <c r="J7" s="6">
        <f t="shared" si="0"/>
        <v>0.93798449612403101</v>
      </c>
      <c r="K7" s="6">
        <v>0.70299999999999996</v>
      </c>
      <c r="L7" s="6">
        <v>0.46899999999999997</v>
      </c>
      <c r="M7" s="4">
        <v>17.399999999999999</v>
      </c>
      <c r="N7" s="4">
        <v>15.68</v>
      </c>
      <c r="O7" s="4">
        <v>10.18</v>
      </c>
      <c r="P7" s="2">
        <v>64</v>
      </c>
      <c r="Q7" s="2">
        <v>22.93</v>
      </c>
      <c r="R7" s="2">
        <v>9.1199999999999992</v>
      </c>
      <c r="S7" s="2">
        <v>35</v>
      </c>
      <c r="T7" s="2">
        <v>-7.25</v>
      </c>
      <c r="U7" s="2">
        <v>4.2632562094992599</v>
      </c>
      <c r="V7" s="2">
        <v>2.0647654127041299</v>
      </c>
    </row>
    <row r="8" spans="1:22" x14ac:dyDescent="0.25">
      <c r="A8" t="s">
        <v>16</v>
      </c>
      <c r="B8">
        <v>2022</v>
      </c>
      <c r="C8" s="2" t="s">
        <v>13</v>
      </c>
      <c r="D8" s="2">
        <v>57.6</v>
      </c>
      <c r="E8" s="2">
        <v>7.8E-2</v>
      </c>
      <c r="F8" s="6">
        <v>0.52900000000000003</v>
      </c>
      <c r="G8" s="6">
        <v>0.3725</v>
      </c>
      <c r="H8" s="6"/>
      <c r="I8" s="6"/>
      <c r="J8" s="6"/>
      <c r="K8" s="6">
        <v>0.49</v>
      </c>
      <c r="L8" s="6">
        <v>0.13700000000000001</v>
      </c>
      <c r="M8" s="4">
        <v>19.399999999999999</v>
      </c>
      <c r="N8" s="4">
        <v>15.35</v>
      </c>
      <c r="O8" s="4">
        <v>6.2</v>
      </c>
      <c r="P8" s="2">
        <v>51</v>
      </c>
      <c r="Q8" s="2">
        <v>18.079999999999998</v>
      </c>
      <c r="R8" s="2">
        <v>5.03</v>
      </c>
      <c r="S8" s="2">
        <v>31</v>
      </c>
      <c r="T8" s="2">
        <v>-2.73</v>
      </c>
      <c r="U8" s="2">
        <v>1.7381737349778601</v>
      </c>
      <c r="V8" s="2">
        <v>1.3183981701208001</v>
      </c>
    </row>
    <row r="9" spans="1:22" x14ac:dyDescent="0.25">
      <c r="A9" t="s">
        <v>18</v>
      </c>
      <c r="B9">
        <v>2021</v>
      </c>
      <c r="C9" s="2" t="s">
        <v>19</v>
      </c>
      <c r="D9" s="2">
        <v>49.3</v>
      </c>
      <c r="E9" s="2">
        <v>0.1</v>
      </c>
      <c r="F9" s="6"/>
      <c r="G9" s="6"/>
      <c r="H9" s="6">
        <v>0.433</v>
      </c>
      <c r="I9" s="6">
        <v>0.56599999999999995</v>
      </c>
      <c r="J9" s="6">
        <f t="shared" si="0"/>
        <v>0.76501766784452307</v>
      </c>
      <c r="K9" s="6"/>
      <c r="L9" s="6"/>
      <c r="M9" s="4">
        <v>12.16</v>
      </c>
      <c r="N9" s="4">
        <v>15</v>
      </c>
      <c r="O9" s="4">
        <v>9.9</v>
      </c>
      <c r="P9" s="2">
        <v>30</v>
      </c>
      <c r="Q9" s="2">
        <v>30.6</v>
      </c>
      <c r="R9" s="2">
        <v>2.2599999999999998</v>
      </c>
      <c r="S9" s="2">
        <v>20</v>
      </c>
      <c r="T9" s="2">
        <v>-15.6</v>
      </c>
      <c r="U9" s="2">
        <v>5.1030111111111101</v>
      </c>
      <c r="V9" s="2">
        <v>2.2589845309587901</v>
      </c>
    </row>
    <row r="10" spans="1:22" x14ac:dyDescent="0.25">
      <c r="A10" t="s">
        <v>20</v>
      </c>
      <c r="B10">
        <v>2017</v>
      </c>
      <c r="C10" s="2" t="s">
        <v>4</v>
      </c>
      <c r="D10" s="2">
        <v>46.2</v>
      </c>
      <c r="E10" s="2">
        <v>0.11</v>
      </c>
      <c r="F10" s="6">
        <v>0.6</v>
      </c>
      <c r="G10" s="6">
        <v>0.83299999999999996</v>
      </c>
      <c r="H10" s="6">
        <v>0.7</v>
      </c>
      <c r="I10" s="6">
        <v>0.3</v>
      </c>
      <c r="J10" s="6">
        <f t="shared" si="0"/>
        <v>2.3333333333333335</v>
      </c>
      <c r="K10" s="6"/>
      <c r="L10" s="6"/>
      <c r="N10" s="4">
        <v>14.87</v>
      </c>
      <c r="O10" s="4">
        <v>4.5599999999999996</v>
      </c>
      <c r="P10" s="2">
        <v>60</v>
      </c>
      <c r="Q10" s="2">
        <v>30.37</v>
      </c>
      <c r="R10" s="2">
        <v>7.94</v>
      </c>
      <c r="S10" s="2">
        <v>60</v>
      </c>
      <c r="T10" s="2">
        <v>-15.5</v>
      </c>
      <c r="U10" s="2">
        <v>1.3972866666666699</v>
      </c>
      <c r="V10" s="2">
        <v>1.1820688079239201</v>
      </c>
    </row>
    <row r="11" spans="1:22" x14ac:dyDescent="0.25">
      <c r="A11" t="s">
        <v>21</v>
      </c>
      <c r="B11">
        <v>2020</v>
      </c>
      <c r="C11" s="2" t="s">
        <v>22</v>
      </c>
      <c r="D11" s="2">
        <v>57.2</v>
      </c>
      <c r="E11" s="2">
        <v>6.4000000000000001E-2</v>
      </c>
      <c r="F11" s="6"/>
      <c r="G11" s="6"/>
      <c r="H11" s="6">
        <v>0.28000000000000003</v>
      </c>
      <c r="I11" s="6">
        <v>0.72</v>
      </c>
      <c r="J11" s="6">
        <f t="shared" si="0"/>
        <v>0.38888888888888895</v>
      </c>
      <c r="K11" s="6"/>
      <c r="L11" s="6">
        <v>0.1</v>
      </c>
      <c r="M11" s="4">
        <v>6</v>
      </c>
      <c r="N11" s="4">
        <v>23.9</v>
      </c>
      <c r="O11" s="4">
        <v>8.5</v>
      </c>
      <c r="P11" s="2">
        <v>50</v>
      </c>
      <c r="Q11" s="2">
        <v>30.2</v>
      </c>
      <c r="R11" s="2">
        <v>6.2</v>
      </c>
      <c r="S11" s="2">
        <v>35</v>
      </c>
      <c r="T11" s="2">
        <v>-6.3</v>
      </c>
      <c r="U11" s="2">
        <v>2.8365772805507699</v>
      </c>
      <c r="V11" s="2">
        <v>1.68421414331752</v>
      </c>
    </row>
    <row r="12" spans="1:22" x14ac:dyDescent="0.25">
      <c r="A12" t="s">
        <v>23</v>
      </c>
      <c r="B12">
        <v>2019</v>
      </c>
      <c r="C12" s="2" t="s">
        <v>13</v>
      </c>
      <c r="D12" s="2">
        <v>64.099999999999994</v>
      </c>
      <c r="E12" s="2">
        <v>0.222</v>
      </c>
      <c r="F12" s="6">
        <v>0.25</v>
      </c>
      <c r="G12" s="6">
        <v>0.159</v>
      </c>
      <c r="H12" s="6">
        <v>0.25</v>
      </c>
      <c r="I12" s="6">
        <v>0.75</v>
      </c>
      <c r="J12" s="6">
        <f t="shared" si="0"/>
        <v>0.33333333333333331</v>
      </c>
      <c r="K12" s="6">
        <v>0.79500000000000004</v>
      </c>
      <c r="L12" s="6">
        <v>6.8000000000000005E-2</v>
      </c>
      <c r="N12" s="4">
        <v>21.62</v>
      </c>
      <c r="O12" s="4">
        <v>14.74</v>
      </c>
      <c r="P12" s="2">
        <v>44</v>
      </c>
      <c r="Q12" s="2">
        <v>21.42</v>
      </c>
      <c r="R12" s="2">
        <v>6.55</v>
      </c>
      <c r="S12" s="2">
        <v>33</v>
      </c>
      <c r="T12" s="2">
        <v>0.19999999999999901</v>
      </c>
      <c r="U12" s="2">
        <v>7.5765361212121203</v>
      </c>
      <c r="V12" s="2">
        <v>2.75255083898774</v>
      </c>
    </row>
    <row r="13" spans="1:22" x14ac:dyDescent="0.25">
      <c r="A13" t="s">
        <v>43</v>
      </c>
      <c r="B13">
        <v>2012</v>
      </c>
      <c r="C13" s="2" t="s">
        <v>19</v>
      </c>
      <c r="D13" s="2">
        <v>46.44</v>
      </c>
      <c r="E13" s="2">
        <v>0.09</v>
      </c>
      <c r="F13" s="6">
        <v>0.9</v>
      </c>
      <c r="G13" s="6"/>
      <c r="H13" s="6">
        <v>0.85</v>
      </c>
      <c r="I13" s="6">
        <v>0.15</v>
      </c>
      <c r="J13" s="6">
        <f t="shared" si="0"/>
        <v>5.666666666666667</v>
      </c>
      <c r="K13" s="6">
        <v>0.26600000000000001</v>
      </c>
      <c r="L13" s="6"/>
      <c r="N13" s="4">
        <v>10.88</v>
      </c>
      <c r="O13" s="4">
        <v>2.68</v>
      </c>
      <c r="P13" s="4">
        <v>30</v>
      </c>
      <c r="Q13" s="2">
        <v>57.41</v>
      </c>
      <c r="R13" s="2">
        <v>4.18</v>
      </c>
      <c r="S13" s="2">
        <v>30</v>
      </c>
      <c r="T13" s="2">
        <v>-46.53</v>
      </c>
      <c r="U13" s="2">
        <v>0.82182666666666704</v>
      </c>
      <c r="V13" s="2">
        <v>0.90654656067224004</v>
      </c>
    </row>
    <row r="14" spans="1:22" x14ac:dyDescent="0.25">
      <c r="A14" t="s">
        <v>24</v>
      </c>
      <c r="B14">
        <v>2021</v>
      </c>
      <c r="C14" s="2" t="s">
        <v>13</v>
      </c>
      <c r="D14" s="2">
        <v>53.2</v>
      </c>
      <c r="E14" s="2">
        <v>0.84199999999999997</v>
      </c>
      <c r="F14" s="6"/>
      <c r="G14" s="6"/>
      <c r="H14" s="6">
        <v>0.76200000000000001</v>
      </c>
      <c r="I14" s="6">
        <v>0.11899999999999999</v>
      </c>
      <c r="J14" s="6">
        <f t="shared" si="0"/>
        <v>6.4033613445378155</v>
      </c>
      <c r="K14" s="6"/>
      <c r="L14" s="6"/>
      <c r="M14" s="4">
        <v>17.5</v>
      </c>
      <c r="N14" s="4">
        <v>21.1</v>
      </c>
      <c r="O14" s="4">
        <v>3.75</v>
      </c>
      <c r="P14" s="2">
        <v>35</v>
      </c>
      <c r="Q14" s="2">
        <v>30.5</v>
      </c>
      <c r="R14" s="2">
        <v>1.75</v>
      </c>
      <c r="S14" s="2">
        <v>37</v>
      </c>
      <c r="T14" s="2">
        <v>-9.4</v>
      </c>
      <c r="U14" s="2">
        <v>0.467324875896305</v>
      </c>
      <c r="V14" s="2">
        <v>0.68361164113574302</v>
      </c>
    </row>
    <row r="15" spans="1:22" x14ac:dyDescent="0.25">
      <c r="A15" t="s">
        <v>36</v>
      </c>
      <c r="B15">
        <v>2021</v>
      </c>
      <c r="C15" s="2" t="s">
        <v>13</v>
      </c>
      <c r="D15" s="2">
        <v>52.5</v>
      </c>
      <c r="E15" s="2">
        <v>0.71399999999999997</v>
      </c>
      <c r="F15" s="6"/>
      <c r="G15" s="6"/>
      <c r="H15" s="6">
        <v>0.73199999999999998</v>
      </c>
      <c r="I15" s="6">
        <v>0.14599999999999999</v>
      </c>
      <c r="J15" s="6">
        <f t="shared" si="0"/>
        <v>5.0136986301369868</v>
      </c>
      <c r="K15" s="6"/>
      <c r="L15" s="6"/>
      <c r="M15" s="4">
        <v>18.899999999999999</v>
      </c>
      <c r="N15" s="4">
        <v>15.9</v>
      </c>
      <c r="O15" s="4">
        <v>1.1000000000000001</v>
      </c>
      <c r="P15" s="2">
        <v>36</v>
      </c>
      <c r="Q15" s="2">
        <v>30.5</v>
      </c>
      <c r="R15" s="2">
        <v>1.75</v>
      </c>
      <c r="S15" s="2">
        <v>37</v>
      </c>
      <c r="T15" s="2">
        <v>-14.6</v>
      </c>
      <c r="U15" s="2">
        <v>0.11779173539736899</v>
      </c>
      <c r="V15" s="2">
        <v>0.34320800602166801</v>
      </c>
    </row>
    <row r="16" spans="1:22" x14ac:dyDescent="0.25">
      <c r="A16" t="s">
        <v>25</v>
      </c>
      <c r="B16">
        <v>2023</v>
      </c>
      <c r="C16" s="2" t="s">
        <v>13</v>
      </c>
      <c r="D16" s="2">
        <v>57.9</v>
      </c>
      <c r="E16" s="2">
        <v>5.5E-2</v>
      </c>
      <c r="F16" s="6"/>
      <c r="G16" s="6"/>
      <c r="H16" s="6">
        <v>0</v>
      </c>
      <c r="I16" s="6">
        <v>1</v>
      </c>
      <c r="J16" s="6">
        <f t="shared" si="0"/>
        <v>0</v>
      </c>
      <c r="K16" s="6">
        <v>5.2999999999999999E-2</v>
      </c>
      <c r="L16" s="6">
        <v>0</v>
      </c>
      <c r="M16" s="4">
        <v>4.84</v>
      </c>
      <c r="N16" s="4">
        <v>26.97</v>
      </c>
      <c r="O16" s="4">
        <v>9</v>
      </c>
      <c r="P16" s="2">
        <v>38</v>
      </c>
      <c r="Q16" s="2">
        <v>31.37</v>
      </c>
      <c r="R16" s="2">
        <v>14.79</v>
      </c>
      <c r="S16" s="2">
        <v>38</v>
      </c>
      <c r="T16" s="2">
        <v>-4.4000000000000004</v>
      </c>
      <c r="U16" s="2">
        <v>7.8880026315789502</v>
      </c>
      <c r="V16" s="2">
        <v>2.80855881753951</v>
      </c>
    </row>
    <row r="17" spans="1:22" x14ac:dyDescent="0.25">
      <c r="A17" t="s">
        <v>26</v>
      </c>
      <c r="B17">
        <v>2018</v>
      </c>
      <c r="C17" s="2" t="s">
        <v>13</v>
      </c>
      <c r="D17" s="2">
        <v>55</v>
      </c>
      <c r="E17" s="2">
        <v>0.6</v>
      </c>
      <c r="F17" s="6">
        <v>0.625</v>
      </c>
      <c r="G17" s="6">
        <v>0.25</v>
      </c>
      <c r="H17" s="6">
        <v>1</v>
      </c>
      <c r="I17" s="6">
        <v>0</v>
      </c>
      <c r="J17" s="6"/>
      <c r="K17" s="6">
        <v>0.83299999999999996</v>
      </c>
      <c r="L17" s="6">
        <v>0.16700000000000001</v>
      </c>
      <c r="M17" s="4">
        <v>11.2</v>
      </c>
      <c r="N17" s="4">
        <v>19.809999999999999</v>
      </c>
      <c r="O17" s="4">
        <v>8.1750000000000007</v>
      </c>
      <c r="P17" s="2">
        <v>48</v>
      </c>
      <c r="Q17" s="2">
        <v>24.46</v>
      </c>
      <c r="R17" s="2">
        <v>5.0999999999999996</v>
      </c>
      <c r="S17" s="2">
        <v>23</v>
      </c>
      <c r="T17" s="2">
        <v>-4.6500000000000004</v>
      </c>
      <c r="U17" s="2">
        <v>3.4609511607986798</v>
      </c>
      <c r="V17" s="2">
        <v>1.8603631798115901</v>
      </c>
    </row>
    <row r="18" spans="1:22" x14ac:dyDescent="0.25">
      <c r="A18" t="s">
        <v>27</v>
      </c>
      <c r="B18">
        <v>2022</v>
      </c>
      <c r="C18" s="2" t="s">
        <v>4</v>
      </c>
      <c r="D18" s="2">
        <v>61.7</v>
      </c>
      <c r="E18" s="2">
        <v>0.112</v>
      </c>
      <c r="F18" s="6">
        <v>0.20300000000000001</v>
      </c>
      <c r="G18" s="6">
        <v>0.50700000000000001</v>
      </c>
      <c r="H18" s="6">
        <v>0.46400000000000002</v>
      </c>
      <c r="I18" s="6">
        <v>0.53600000000000003</v>
      </c>
      <c r="J18" s="6">
        <v>0.86567164179104472</v>
      </c>
      <c r="K18" s="6">
        <v>0.65200000000000002</v>
      </c>
      <c r="L18" s="6">
        <v>5.8000000000000003E-2</v>
      </c>
      <c r="M18" s="4">
        <v>7.71</v>
      </c>
      <c r="N18" s="4">
        <v>19.899999999999999</v>
      </c>
      <c r="O18" s="4">
        <v>10</v>
      </c>
      <c r="P18" s="2">
        <v>69</v>
      </c>
      <c r="Q18" s="2">
        <v>25</v>
      </c>
      <c r="R18" s="2">
        <v>5.13</v>
      </c>
      <c r="S18" s="2">
        <v>38</v>
      </c>
      <c r="T18" s="2">
        <v>-5.0999999999999996</v>
      </c>
      <c r="U18" s="2">
        <v>3.0212800374123701</v>
      </c>
      <c r="V18" s="2">
        <v>1.73818297006166</v>
      </c>
    </row>
    <row r="19" spans="1:22" x14ac:dyDescent="0.25">
      <c r="A19" t="s">
        <v>28</v>
      </c>
      <c r="B19">
        <v>2021</v>
      </c>
      <c r="C19" s="2" t="s">
        <v>13</v>
      </c>
      <c r="D19" s="2">
        <v>64.099999999999994</v>
      </c>
      <c r="E19" s="2">
        <v>0.11899999999999999</v>
      </c>
      <c r="F19" s="6">
        <v>0.25</v>
      </c>
      <c r="G19" s="6">
        <v>0.44400000000000001</v>
      </c>
      <c r="H19" s="6">
        <v>0.66700000000000004</v>
      </c>
      <c r="I19" s="6">
        <v>0.33300000000000002</v>
      </c>
      <c r="J19" s="6">
        <v>2.0030030030030028</v>
      </c>
      <c r="K19" s="6">
        <v>0.47199999999999998</v>
      </c>
      <c r="L19" s="6"/>
      <c r="M19" s="4">
        <v>28.9</v>
      </c>
      <c r="N19" s="4">
        <v>22.47</v>
      </c>
      <c r="O19" s="4">
        <v>2.6</v>
      </c>
      <c r="P19" s="2">
        <v>36</v>
      </c>
      <c r="Q19" s="2">
        <v>27.34</v>
      </c>
      <c r="R19" s="2">
        <v>10.8</v>
      </c>
      <c r="S19" s="2">
        <v>36</v>
      </c>
      <c r="T19" s="2">
        <v>-4.87</v>
      </c>
      <c r="U19" s="2">
        <v>3.4277777777777798</v>
      </c>
      <c r="V19" s="2">
        <v>1.8514258769331799</v>
      </c>
    </row>
    <row r="20" spans="1:22" x14ac:dyDescent="0.25">
      <c r="A20" t="s">
        <v>30</v>
      </c>
      <c r="B20">
        <v>2016</v>
      </c>
      <c r="C20" s="2" t="s">
        <v>13</v>
      </c>
      <c r="D20" s="2">
        <v>61</v>
      </c>
      <c r="E20" s="2">
        <v>9.3700000000000006E-2</v>
      </c>
      <c r="F20" s="6"/>
      <c r="G20" s="6"/>
      <c r="H20" s="6"/>
      <c r="I20" s="6"/>
      <c r="J20" s="6"/>
      <c r="K20" s="6"/>
      <c r="L20" s="6"/>
      <c r="N20" s="4">
        <v>18.5</v>
      </c>
      <c r="O20" s="4">
        <v>7.375</v>
      </c>
      <c r="P20" s="2">
        <v>35</v>
      </c>
      <c r="Q20" s="2">
        <v>39</v>
      </c>
      <c r="R20" s="2">
        <v>31</v>
      </c>
      <c r="S20" s="2">
        <v>60</v>
      </c>
      <c r="T20" s="2">
        <v>-20.5</v>
      </c>
      <c r="U20" s="2">
        <v>28.479706701228899</v>
      </c>
      <c r="V20" s="2">
        <v>5.3366381459893697</v>
      </c>
    </row>
    <row r="21" spans="1:22" x14ac:dyDescent="0.25">
      <c r="A21" t="s">
        <v>31</v>
      </c>
      <c r="B21">
        <v>2021</v>
      </c>
      <c r="C21" s="2" t="s">
        <v>13</v>
      </c>
      <c r="D21" s="5"/>
      <c r="E21" s="2">
        <v>0.55500000000000005</v>
      </c>
      <c r="F21" s="6"/>
      <c r="G21" s="6"/>
      <c r="H21" s="6"/>
      <c r="I21" s="6"/>
      <c r="J21" s="6"/>
      <c r="K21" s="6"/>
      <c r="L21" s="6"/>
      <c r="N21" s="4">
        <v>24.55</v>
      </c>
      <c r="O21" s="4">
        <v>9.32</v>
      </c>
      <c r="P21" s="2">
        <v>14</v>
      </c>
      <c r="Q21" s="2">
        <v>39.979999999999997</v>
      </c>
      <c r="R21" s="2">
        <v>3.11</v>
      </c>
      <c r="S21" s="2">
        <v>10</v>
      </c>
      <c r="T21" s="2">
        <v>-15.43</v>
      </c>
      <c r="U21" s="2">
        <v>9.4773514285714295</v>
      </c>
      <c r="V21" s="2">
        <v>3.0785307256175698</v>
      </c>
    </row>
    <row r="22" spans="1:22" x14ac:dyDescent="0.25">
      <c r="A22" t="s">
        <v>44</v>
      </c>
      <c r="B22">
        <v>2007</v>
      </c>
      <c r="C22" s="2" t="s">
        <v>19</v>
      </c>
      <c r="D22" s="5"/>
      <c r="E22" s="2">
        <v>3.2000000000000001E-2</v>
      </c>
      <c r="F22" s="6"/>
      <c r="G22" s="6"/>
      <c r="H22" s="6"/>
      <c r="I22" s="6"/>
      <c r="J22" s="6"/>
      <c r="K22" s="6"/>
      <c r="L22" s="6"/>
      <c r="N22" s="4">
        <v>11</v>
      </c>
      <c r="O22" s="4">
        <v>5.8</v>
      </c>
      <c r="P22" s="2">
        <v>229</v>
      </c>
      <c r="Q22" s="2">
        <v>21.6</v>
      </c>
      <c r="R22" s="2">
        <v>6.7</v>
      </c>
      <c r="S22" s="2">
        <v>30</v>
      </c>
      <c r="T22" s="2">
        <v>-10.6</v>
      </c>
      <c r="U22" s="2">
        <v>1.31609154446955</v>
      </c>
      <c r="V22" s="2">
        <v>1.14721033139941</v>
      </c>
    </row>
    <row r="23" spans="1:22" x14ac:dyDescent="0.25">
      <c r="A23" t="s">
        <v>32</v>
      </c>
      <c r="B23">
        <v>2017</v>
      </c>
      <c r="C23" s="2" t="s">
        <v>4</v>
      </c>
      <c r="D23" s="2">
        <v>60.9</v>
      </c>
      <c r="E23" s="2">
        <v>0</v>
      </c>
      <c r="F23" s="6">
        <v>0.25</v>
      </c>
      <c r="G23" s="6">
        <v>0.32500000000000001</v>
      </c>
      <c r="H23" s="6">
        <v>0.375</v>
      </c>
      <c r="I23" s="6">
        <v>0.625</v>
      </c>
      <c r="J23" s="6">
        <v>0.6</v>
      </c>
      <c r="K23" s="6">
        <v>0.35</v>
      </c>
      <c r="L23" s="6">
        <v>0.1</v>
      </c>
      <c r="M23" s="4">
        <v>9.1999999999999993</v>
      </c>
      <c r="N23" s="4">
        <v>43.7</v>
      </c>
      <c r="O23" s="4">
        <v>21.25</v>
      </c>
      <c r="P23" s="2">
        <v>40</v>
      </c>
      <c r="Q23" s="2">
        <v>57.5</v>
      </c>
      <c r="R23" s="2">
        <v>20.55</v>
      </c>
      <c r="S23" s="2">
        <v>80</v>
      </c>
      <c r="T23" s="2">
        <v>-13.8</v>
      </c>
      <c r="U23" s="2">
        <v>16.198994173728799</v>
      </c>
      <c r="V23" s="2">
        <v>4.0247974077869797</v>
      </c>
    </row>
    <row r="24" spans="1:22" x14ac:dyDescent="0.25">
      <c r="A24" t="s">
        <v>37</v>
      </c>
      <c r="B24">
        <v>2011</v>
      </c>
      <c r="C24" s="2" t="s">
        <v>13</v>
      </c>
      <c r="D24" s="2">
        <v>58.5</v>
      </c>
      <c r="E24" s="2">
        <v>0</v>
      </c>
      <c r="F24" s="6"/>
      <c r="G24" s="6"/>
      <c r="H24" s="6"/>
      <c r="I24" s="6"/>
      <c r="J24" s="6"/>
      <c r="K24" s="6"/>
      <c r="L24" s="6"/>
      <c r="N24" s="4">
        <v>21.4</v>
      </c>
      <c r="O24" s="4">
        <v>10.6</v>
      </c>
      <c r="P24" s="2">
        <v>53</v>
      </c>
      <c r="Q24" s="2">
        <v>36.6</v>
      </c>
      <c r="R24" s="2">
        <v>9.8000000000000007</v>
      </c>
      <c r="S24" s="2">
        <v>35</v>
      </c>
      <c r="T24" s="2">
        <v>-15.2</v>
      </c>
      <c r="U24" s="2">
        <v>5.0242025951231701</v>
      </c>
      <c r="V24" s="2">
        <v>2.2414733090365302</v>
      </c>
    </row>
    <row r="25" spans="1:22" x14ac:dyDescent="0.25">
      <c r="A25" t="s">
        <v>39</v>
      </c>
      <c r="B25">
        <v>2011</v>
      </c>
      <c r="C25" s="2" t="s">
        <v>13</v>
      </c>
      <c r="D25" s="2">
        <v>58.5</v>
      </c>
      <c r="E25" s="2">
        <v>0</v>
      </c>
      <c r="F25" s="6"/>
      <c r="G25" s="6"/>
      <c r="H25" s="6"/>
      <c r="I25" s="6"/>
      <c r="J25" s="6"/>
      <c r="K25" s="6"/>
      <c r="L25" s="6"/>
      <c r="N25" s="4">
        <v>20.5</v>
      </c>
      <c r="O25" s="4">
        <v>11.8</v>
      </c>
      <c r="P25" s="2">
        <v>53</v>
      </c>
      <c r="Q25" s="2">
        <v>35.5</v>
      </c>
      <c r="R25" s="2">
        <v>10.1</v>
      </c>
      <c r="S25" s="2">
        <v>35</v>
      </c>
      <c r="T25" s="2">
        <v>-15</v>
      </c>
      <c r="U25" s="2">
        <v>5.90720341001692</v>
      </c>
      <c r="V25" s="2">
        <v>2.43047390646699</v>
      </c>
    </row>
    <row r="26" spans="1:22" x14ac:dyDescent="0.25">
      <c r="A26" t="s">
        <v>40</v>
      </c>
      <c r="B26">
        <v>2011</v>
      </c>
      <c r="C26" s="2" t="s">
        <v>13</v>
      </c>
      <c r="D26" s="2">
        <v>58.5</v>
      </c>
      <c r="E26" s="2">
        <v>0</v>
      </c>
      <c r="F26" s="6"/>
      <c r="G26" s="6"/>
      <c r="H26" s="6"/>
      <c r="I26" s="6"/>
      <c r="J26" s="6"/>
      <c r="K26" s="6"/>
      <c r="L26" s="6"/>
      <c r="N26" s="4">
        <v>21.7</v>
      </c>
      <c r="O26" s="4">
        <v>13.4</v>
      </c>
      <c r="P26" s="2">
        <v>53</v>
      </c>
      <c r="Q26" s="2">
        <v>39.4</v>
      </c>
      <c r="R26" s="2">
        <v>15.4</v>
      </c>
      <c r="S26" s="2">
        <v>35</v>
      </c>
      <c r="T26" s="2">
        <v>-17.7</v>
      </c>
      <c r="U26" s="2">
        <v>9.5985036043377399</v>
      </c>
      <c r="V26" s="2">
        <v>3.0981451877434298</v>
      </c>
    </row>
    <row r="27" spans="1:22" x14ac:dyDescent="0.25">
      <c r="A27" t="s">
        <v>38</v>
      </c>
      <c r="B27">
        <v>2011</v>
      </c>
      <c r="C27" s="2" t="s">
        <v>13</v>
      </c>
      <c r="D27" s="2">
        <v>58.5</v>
      </c>
      <c r="E27" s="2">
        <v>0</v>
      </c>
      <c r="F27" s="6"/>
      <c r="G27" s="6"/>
      <c r="H27" s="6"/>
      <c r="I27" s="6"/>
      <c r="J27" s="6"/>
      <c r="K27" s="6"/>
      <c r="L27" s="6"/>
      <c r="N27" s="4">
        <v>19.3</v>
      </c>
      <c r="O27" s="4">
        <v>12.3</v>
      </c>
      <c r="P27" s="2">
        <v>53</v>
      </c>
      <c r="Q27" s="2">
        <v>32.1</v>
      </c>
      <c r="R27" s="2">
        <v>14.1</v>
      </c>
      <c r="S27" s="2">
        <v>35</v>
      </c>
      <c r="T27" s="2">
        <v>-12.8</v>
      </c>
      <c r="U27" s="2">
        <v>8.0683417539020894</v>
      </c>
      <c r="V27" s="2">
        <v>2.8404826621372101</v>
      </c>
    </row>
    <row r="28" spans="1:22" x14ac:dyDescent="0.25">
      <c r="A28" t="s">
        <v>33</v>
      </c>
      <c r="B28">
        <v>2011</v>
      </c>
      <c r="C28" s="2" t="s">
        <v>22</v>
      </c>
      <c r="D28" s="2">
        <v>20.9</v>
      </c>
      <c r="E28" s="2">
        <v>0.111</v>
      </c>
      <c r="F28" s="6">
        <v>0.2</v>
      </c>
      <c r="G28" s="6">
        <v>0.1</v>
      </c>
      <c r="H28" s="6">
        <v>0.7</v>
      </c>
      <c r="I28" s="6">
        <v>0.3</v>
      </c>
      <c r="J28" s="6">
        <v>2.3333333333333335</v>
      </c>
      <c r="K28" s="6"/>
      <c r="L28" s="6"/>
      <c r="M28" s="4">
        <v>21.9</v>
      </c>
      <c r="N28" s="4">
        <v>18.100000000000001</v>
      </c>
      <c r="O28" s="4">
        <v>6.4</v>
      </c>
      <c r="P28" s="2">
        <v>10</v>
      </c>
      <c r="Q28" s="2">
        <v>25.1</v>
      </c>
      <c r="R28" s="2">
        <v>6.6</v>
      </c>
      <c r="S28" s="2">
        <v>10</v>
      </c>
      <c r="T28" s="2">
        <v>-7</v>
      </c>
      <c r="U28" s="2">
        <v>8.452</v>
      </c>
      <c r="V28" s="2">
        <v>2.90723236085456</v>
      </c>
    </row>
    <row r="29" spans="1:22" x14ac:dyDescent="0.25">
      <c r="A29" t="s">
        <v>45</v>
      </c>
      <c r="B29">
        <v>2021</v>
      </c>
      <c r="C29" s="2" t="s">
        <v>13</v>
      </c>
      <c r="D29" s="2">
        <v>64.63</v>
      </c>
      <c r="E29" s="2">
        <v>0.21</v>
      </c>
      <c r="F29" s="6"/>
      <c r="G29" s="6"/>
      <c r="H29" s="6"/>
      <c r="I29" s="6"/>
      <c r="J29" s="6"/>
      <c r="K29" s="6"/>
      <c r="L29" s="6"/>
      <c r="N29" s="4">
        <v>26.22</v>
      </c>
      <c r="O29" s="4">
        <v>9.82</v>
      </c>
      <c r="P29" s="2">
        <v>42</v>
      </c>
      <c r="Q29" s="2">
        <v>27.8</v>
      </c>
      <c r="R29" s="2">
        <v>16.53</v>
      </c>
      <c r="S29" s="2">
        <v>40</v>
      </c>
      <c r="T29" s="2">
        <v>-1.58</v>
      </c>
      <c r="U29" s="2">
        <v>8.9139146354166705</v>
      </c>
      <c r="V29" s="2">
        <v>2.9856179654163202</v>
      </c>
    </row>
    <row r="30" spans="1:22" x14ac:dyDescent="0.25">
      <c r="A30" t="s">
        <v>34</v>
      </c>
      <c r="B30">
        <v>2018</v>
      </c>
      <c r="C30" s="2" t="s">
        <v>4</v>
      </c>
      <c r="D30" s="2">
        <v>53</v>
      </c>
      <c r="E30" s="2">
        <v>0</v>
      </c>
      <c r="F30" s="6">
        <v>0.45700000000000002</v>
      </c>
      <c r="G30" s="6">
        <v>0.39100000000000001</v>
      </c>
      <c r="H30" s="6">
        <v>0.39100000000000001</v>
      </c>
      <c r="I30" s="6">
        <v>0.60899999999999999</v>
      </c>
      <c r="J30" s="6">
        <v>0.64203612479474548</v>
      </c>
      <c r="K30" s="6">
        <v>0.56000000000000005</v>
      </c>
      <c r="L30" s="6">
        <v>6.5000000000000002E-2</v>
      </c>
      <c r="M30" s="4">
        <v>7</v>
      </c>
      <c r="N30" s="4">
        <v>8.6999999999999993</v>
      </c>
      <c r="O30" s="4">
        <v>6.85</v>
      </c>
      <c r="P30" s="2">
        <v>46</v>
      </c>
      <c r="Q30" s="2">
        <v>16.5</v>
      </c>
      <c r="R30" s="2">
        <v>5.9</v>
      </c>
      <c r="S30" s="2">
        <v>30</v>
      </c>
      <c r="T30" s="2">
        <v>-7.8</v>
      </c>
      <c r="U30" s="2">
        <v>2.3227202311006701</v>
      </c>
      <c r="V30" s="2">
        <v>1.5240473191802999</v>
      </c>
    </row>
    <row r="31" spans="1:22" x14ac:dyDescent="0.25">
      <c r="A31" t="s">
        <v>35</v>
      </c>
      <c r="B31">
        <v>2017</v>
      </c>
      <c r="C31" s="2" t="s">
        <v>4</v>
      </c>
      <c r="D31" s="2">
        <v>47.75</v>
      </c>
      <c r="E31" s="2">
        <v>0.154</v>
      </c>
      <c r="F31" s="6">
        <v>0.2833</v>
      </c>
      <c r="G31" s="6"/>
      <c r="H31" s="6">
        <v>1</v>
      </c>
      <c r="I31" s="6">
        <v>0</v>
      </c>
      <c r="J31" s="6"/>
      <c r="K31" s="6"/>
      <c r="L31" s="6"/>
      <c r="N31" s="4">
        <v>26.51</v>
      </c>
      <c r="O31" s="4">
        <v>6.27</v>
      </c>
      <c r="P31" s="2">
        <v>60</v>
      </c>
      <c r="Q31" s="2">
        <v>36.29</v>
      </c>
      <c r="R31" s="2">
        <v>14.24</v>
      </c>
      <c r="S31" s="2">
        <v>60</v>
      </c>
      <c r="T31" s="2">
        <v>-9.7799999999999994</v>
      </c>
      <c r="U31" s="2">
        <v>4.0348416666666704</v>
      </c>
      <c r="V31" s="2">
        <v>2.0086915309889299</v>
      </c>
    </row>
  </sheetData>
  <autoFilter ref="A1:S31" xr:uid="{00000000-0001-0000-0000-000000000000}">
    <sortState xmlns:xlrd2="http://schemas.microsoft.com/office/spreadsheetml/2017/richdata2" ref="A2:S31">
      <sortCondition ref="A2:A31"/>
    </sortState>
  </autoFilter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 dhaouadi</dc:creator>
  <cp:lastModifiedBy>tarak</cp:lastModifiedBy>
  <cp:lastPrinted>2024-06-29T09:26:35Z</cp:lastPrinted>
  <dcterms:created xsi:type="dcterms:W3CDTF">2015-06-05T18:17:20Z</dcterms:created>
  <dcterms:modified xsi:type="dcterms:W3CDTF">2026-10-12T07:43:23Z</dcterms:modified>
</cp:coreProperties>
</file>