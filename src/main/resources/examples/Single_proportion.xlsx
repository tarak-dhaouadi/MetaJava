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10 Travaux 2026\#3 Syntaxes R\R Meta Java App\Examlpe datasets\"/>
    </mc:Choice>
  </mc:AlternateContent>
  <xr:revisionPtr revIDLastSave="0" documentId="13_ncr:1_{EC8A837B-F17C-4726-97D5-E18DE11137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IF- ENA+" sheetId="2" r:id="rId1"/>
  </sheets>
  <definedNames>
    <definedName name="_xlnm._FilterDatabase" localSheetId="0" hidden="1">'IIF- ENA+'!$A$1:$Q$34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6" i="2" l="1"/>
  <c r="L3" i="2"/>
  <c r="L21" i="2"/>
  <c r="L20" i="2"/>
  <c r="L5" i="2"/>
  <c r="L25" i="2"/>
  <c r="L27" i="2"/>
  <c r="L28" i="2"/>
  <c r="L29" i="2"/>
  <c r="L30" i="2"/>
  <c r="L31" i="2"/>
  <c r="L32" i="2"/>
  <c r="L33" i="2"/>
  <c r="L34" i="2"/>
  <c r="L4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2" i="2"/>
  <c r="L23" i="2"/>
  <c r="L24" i="2"/>
  <c r="L2" i="2"/>
</calcChain>
</file>

<file path=xl/sharedStrings.xml><?xml version="1.0" encoding="utf-8"?>
<sst xmlns="http://schemas.openxmlformats.org/spreadsheetml/2006/main" count="182" uniqueCount="62">
  <si>
    <t>Age</t>
  </si>
  <si>
    <t>SAMPLE SIZE</t>
  </si>
  <si>
    <t>Dahle 2004</t>
  </si>
  <si>
    <t>Ethington 2024</t>
  </si>
  <si>
    <t>Infantino.1 2017</t>
  </si>
  <si>
    <t>Infantino.2 2017</t>
  </si>
  <si>
    <t>Jaskowski 1996</t>
  </si>
  <si>
    <t>SSA (%)</t>
  </si>
  <si>
    <t>Liu 2017</t>
  </si>
  <si>
    <t>Sener 2014</t>
  </si>
  <si>
    <t>Vos 2006</t>
  </si>
  <si>
    <t>Yeo 2023</t>
  </si>
  <si>
    <t>Yoon 2022</t>
  </si>
  <si>
    <t>Caucasian</t>
  </si>
  <si>
    <t>Ethnicity</t>
  </si>
  <si>
    <t>CENP-B (%)</t>
  </si>
  <si>
    <t>Scl70 (%)</t>
  </si>
  <si>
    <t>American (mixed)</t>
  </si>
  <si>
    <t>Prevalence</t>
  </si>
  <si>
    <t>IIF cut-off</t>
  </si>
  <si>
    <t>Hoffman.1 2002</t>
  </si>
  <si>
    <t>Hoffman.2 2002</t>
  </si>
  <si>
    <t>Gender-ratio (M/F)</t>
  </si>
  <si>
    <t>ARS (%)</t>
  </si>
  <si>
    <t>Kern.1 2000</t>
  </si>
  <si>
    <t>Kern.2 2000</t>
  </si>
  <si>
    <t>Asian</t>
  </si>
  <si>
    <t>Suspected CTD</t>
  </si>
  <si>
    <t>HEp-2</t>
  </si>
  <si>
    <t>HEp-2000</t>
  </si>
  <si>
    <t>Event rate</t>
  </si>
  <si>
    <t>Context</t>
  </si>
  <si>
    <t>Broad requests</t>
  </si>
  <si>
    <t>Diagnosed CTD</t>
  </si>
  <si>
    <t>Study</t>
  </si>
  <si>
    <t>Au 2018</t>
  </si>
  <si>
    <t>Bossuyt 2005</t>
  </si>
  <si>
    <t>Davis 2015</t>
  </si>
  <si>
    <t>Desplat 2007</t>
  </si>
  <si>
    <t>Hayashi 2001</t>
  </si>
  <si>
    <t>Robier 2015</t>
  </si>
  <si>
    <t>Sebastian 2010</t>
  </si>
  <si>
    <t>Jang.1 2021</t>
  </si>
  <si>
    <t>Jang.2 2021</t>
  </si>
  <si>
    <t>Lee.1 2012</t>
  </si>
  <si>
    <t>Lee.2 2012</t>
  </si>
  <si>
    <t>Nifli 2006</t>
  </si>
  <si>
    <t>Pottel 2004</t>
  </si>
  <si>
    <t>Thomson 2001</t>
  </si>
  <si>
    <t>Chandratilleke 2016</t>
  </si>
  <si>
    <t>Kim.1 2008</t>
  </si>
  <si>
    <t>Kim.2 2008</t>
  </si>
  <si>
    <t>Bloomberg 2000</t>
  </si>
  <si>
    <t>Pauling 2017</t>
  </si>
  <si>
    <t>ENA subtyping</t>
  </si>
  <si>
    <t>MFIA</t>
  </si>
  <si>
    <t>ELISA</t>
  </si>
  <si>
    <t>FEIA</t>
  </si>
  <si>
    <t>DID</t>
  </si>
  <si>
    <t>Blot</t>
  </si>
  <si>
    <t>Year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</si>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</sst>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D27C-190F-484E-A167-7C355532E03D}">
  <dimension ref="A1:Q3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6" sqref="D26"/>
    </sheetView>
  </sheetViews>
  <sheetFormatPr defaultRowHeight="15" x14ac:dyDescent="0.25"/>
  <cols>
    <col min="1" max="1" width="18.5703125" bestFit="1" customWidth="1"/>
    <col min="2" max="2" width="6.85546875" bestFit="1" customWidth="1"/>
    <col min="3" max="3" width="17" bestFit="1" customWidth="1"/>
    <col min="5" max="5" width="20.42578125" bestFit="1" customWidth="1"/>
    <col min="6" max="6" width="14.42578125" bestFit="1" customWidth="1"/>
    <col min="7" max="7" width="13.140625" customWidth="1"/>
    <col min="9" max="9" width="20.5703125" bestFit="1" customWidth="1"/>
    <col min="11" max="11" width="14.28515625" bestFit="1" customWidth="1"/>
    <col min="12" max="12" width="12" bestFit="1" customWidth="1"/>
    <col min="17" max="17" width="12.28515625" bestFit="1" customWidth="1"/>
  </cols>
  <sheetData>
    <row r="1" spans="1:17" x14ac:dyDescent="0.25">
      <c r="A1" t="s">
        <v>34</v>
      </c>
      <c r="B1" t="s">
        <v>60</v>
      </c>
      <c r="C1" t="s">
        <v>14</v>
      </c>
      <c r="D1" t="s">
        <v>0</v>
      </c>
      <c r="E1" t="s">
        <v>22</v>
      </c>
      <c r="F1" t="s">
        <v>31</v>
      </c>
      <c r="G1" t="s">
        <v>28</v>
      </c>
      <c r="H1" t="s">
        <v>19</v>
      </c>
      <c r="I1" t="s">
        <v>54</v>
      </c>
      <c r="J1" t="s">
        <v>61</v>
      </c>
      <c r="K1" t="s">
        <v>1</v>
      </c>
      <c r="L1" t="s">
        <v>18</v>
      </c>
      <c r="M1" t="s">
        <v>7</v>
      </c>
      <c r="N1" t="s">
        <v>15</v>
      </c>
      <c r="O1" t="s">
        <v>16</v>
      </c>
      <c r="P1" t="s">
        <v>23</v>
      </c>
      <c r="Q1" t="s">
        <v>30</v>
      </c>
    </row>
    <row r="2" spans="1:17" x14ac:dyDescent="0.25">
      <c r="A2" t="s">
        <v>35</v>
      </c>
      <c r="B2">
        <v>2018</v>
      </c>
      <c r="C2" t="s">
        <v>26</v>
      </c>
      <c r="D2">
        <v>46.8</v>
      </c>
      <c r="E2">
        <v>9.375E-2</v>
      </c>
      <c r="F2" t="s">
        <v>33</v>
      </c>
      <c r="G2" t="s">
        <v>28</v>
      </c>
      <c r="H2">
        <v>80</v>
      </c>
      <c r="I2" t="s">
        <v>55</v>
      </c>
      <c r="J2">
        <v>4</v>
      </c>
      <c r="K2">
        <v>9</v>
      </c>
      <c r="L2">
        <f>J2/K2</f>
        <v>0.44444444444444442</v>
      </c>
      <c r="M2">
        <v>0.42899999999999999</v>
      </c>
      <c r="O2">
        <v>0.05</v>
      </c>
      <c r="P2">
        <v>7.0000000000000007E-2</v>
      </c>
      <c r="Q2" s="1">
        <v>0.44444444445374898</v>
      </c>
    </row>
    <row r="3" spans="1:17" x14ac:dyDescent="0.25">
      <c r="A3" t="s">
        <v>52</v>
      </c>
      <c r="B3">
        <v>2000</v>
      </c>
      <c r="C3" t="s">
        <v>13</v>
      </c>
      <c r="D3">
        <v>49.5</v>
      </c>
      <c r="E3">
        <v>0.52</v>
      </c>
      <c r="F3" t="s">
        <v>32</v>
      </c>
      <c r="G3" t="s">
        <v>28</v>
      </c>
      <c r="H3">
        <v>100</v>
      </c>
      <c r="I3" t="s">
        <v>56</v>
      </c>
      <c r="J3">
        <v>75</v>
      </c>
      <c r="K3">
        <v>3815</v>
      </c>
      <c r="L3">
        <f>J3/K3</f>
        <v>1.9659239842726082E-2</v>
      </c>
      <c r="M3">
        <v>1.9659240000000001E-2</v>
      </c>
      <c r="Q3" s="1">
        <v>1.9659239855449699E-2</v>
      </c>
    </row>
    <row r="4" spans="1:17" x14ac:dyDescent="0.25">
      <c r="A4" t="s">
        <v>36</v>
      </c>
      <c r="B4">
        <v>2005</v>
      </c>
      <c r="C4" t="s">
        <v>13</v>
      </c>
      <c r="D4">
        <v>47.6</v>
      </c>
      <c r="E4">
        <v>0.49</v>
      </c>
      <c r="F4" t="s">
        <v>32</v>
      </c>
      <c r="G4" t="s">
        <v>29</v>
      </c>
      <c r="H4">
        <v>80</v>
      </c>
      <c r="I4" t="s">
        <v>57</v>
      </c>
      <c r="J4">
        <v>16</v>
      </c>
      <c r="K4">
        <v>1840</v>
      </c>
      <c r="L4">
        <f t="shared" ref="L4:L34" si="0">J4/K4</f>
        <v>8.6956521739130436E-3</v>
      </c>
      <c r="M4">
        <v>5.9779999999999998E-3</v>
      </c>
      <c r="N4">
        <v>0</v>
      </c>
      <c r="O4">
        <v>5.4299999999999997E-4</v>
      </c>
      <c r="P4">
        <v>5.4347830000000001E-4</v>
      </c>
      <c r="Q4" s="1">
        <v>8.6956521808075008E-3</v>
      </c>
    </row>
    <row r="5" spans="1:17" x14ac:dyDescent="0.25">
      <c r="A5" t="s">
        <v>49</v>
      </c>
      <c r="B5">
        <v>2016</v>
      </c>
      <c r="C5" t="s">
        <v>13</v>
      </c>
      <c r="D5">
        <v>42.3</v>
      </c>
      <c r="E5">
        <v>0.34</v>
      </c>
      <c r="F5" t="s">
        <v>33</v>
      </c>
      <c r="G5" t="s">
        <v>28</v>
      </c>
      <c r="H5">
        <v>80</v>
      </c>
      <c r="I5" t="s">
        <v>59</v>
      </c>
      <c r="J5">
        <v>2</v>
      </c>
      <c r="K5">
        <v>7</v>
      </c>
      <c r="L5">
        <f t="shared" si="0"/>
        <v>0.2857142857142857</v>
      </c>
      <c r="M5">
        <v>0</v>
      </c>
      <c r="N5">
        <v>0</v>
      </c>
      <c r="O5">
        <v>0</v>
      </c>
      <c r="P5">
        <v>0.14285700000000001</v>
      </c>
      <c r="Q5" s="1">
        <v>0.28571428574586499</v>
      </c>
    </row>
    <row r="6" spans="1:17" x14ac:dyDescent="0.25">
      <c r="A6" t="s">
        <v>2</v>
      </c>
      <c r="B6">
        <v>2004</v>
      </c>
      <c r="C6" t="s">
        <v>13</v>
      </c>
      <c r="D6">
        <v>51.5</v>
      </c>
      <c r="E6">
        <v>0.42</v>
      </c>
      <c r="F6" t="s">
        <v>32</v>
      </c>
      <c r="G6" t="s">
        <v>29</v>
      </c>
      <c r="H6">
        <v>100</v>
      </c>
      <c r="I6" t="s">
        <v>56</v>
      </c>
      <c r="J6">
        <v>35</v>
      </c>
      <c r="K6">
        <v>2739</v>
      </c>
      <c r="L6">
        <f t="shared" si="0"/>
        <v>1.2778386272362175E-2</v>
      </c>
      <c r="M6">
        <v>1.1628331507849581E-2</v>
      </c>
      <c r="N6">
        <v>4.740781307046367E-3</v>
      </c>
      <c r="O6">
        <v>2.1851040525739324E-3</v>
      </c>
      <c r="P6">
        <v>3.7057320189850314E-4</v>
      </c>
      <c r="Q6" s="1">
        <v>1.2778386281623101E-2</v>
      </c>
    </row>
    <row r="7" spans="1:17" x14ac:dyDescent="0.25">
      <c r="A7" t="s">
        <v>37</v>
      </c>
      <c r="B7">
        <v>2014</v>
      </c>
      <c r="C7" t="s">
        <v>17</v>
      </c>
      <c r="D7">
        <v>45.2</v>
      </c>
      <c r="E7">
        <v>0.46870000000000001</v>
      </c>
      <c r="F7" t="s">
        <v>27</v>
      </c>
      <c r="G7" t="s">
        <v>28</v>
      </c>
      <c r="H7">
        <v>40</v>
      </c>
      <c r="I7" t="s">
        <v>56</v>
      </c>
      <c r="J7">
        <v>4</v>
      </c>
      <c r="K7">
        <v>103</v>
      </c>
      <c r="L7">
        <f t="shared" si="0"/>
        <v>3.8834951456310676E-2</v>
      </c>
      <c r="M7">
        <v>1.9199999999999998E-2</v>
      </c>
      <c r="N7">
        <v>0</v>
      </c>
      <c r="O7">
        <v>1.9230000000000001E-2</v>
      </c>
      <c r="Q7" s="1">
        <v>3.8834951476537503E-2</v>
      </c>
    </row>
    <row r="8" spans="1:17" x14ac:dyDescent="0.25">
      <c r="A8" t="s">
        <v>38</v>
      </c>
      <c r="B8">
        <v>2007</v>
      </c>
      <c r="C8" t="s">
        <v>17</v>
      </c>
      <c r="D8">
        <v>38.9</v>
      </c>
      <c r="E8">
        <v>0.51</v>
      </c>
      <c r="F8" t="s">
        <v>27</v>
      </c>
      <c r="G8" t="s">
        <v>28</v>
      </c>
      <c r="H8">
        <v>100</v>
      </c>
      <c r="I8" t="s">
        <v>58</v>
      </c>
      <c r="J8">
        <v>65</v>
      </c>
      <c r="K8">
        <v>628</v>
      </c>
      <c r="L8">
        <f t="shared" si="0"/>
        <v>0.1035031847133758</v>
      </c>
      <c r="M8">
        <v>9.0579699999999999E-2</v>
      </c>
      <c r="N8">
        <v>1.721E-2</v>
      </c>
      <c r="O8">
        <v>1.35869565E-2</v>
      </c>
      <c r="P8">
        <v>3.6231884E-3</v>
      </c>
      <c r="Q8" s="1">
        <v>0.103503184747205</v>
      </c>
    </row>
    <row r="9" spans="1:17" x14ac:dyDescent="0.25">
      <c r="A9" t="s">
        <v>3</v>
      </c>
      <c r="B9">
        <v>2024</v>
      </c>
      <c r="C9" t="s">
        <v>17</v>
      </c>
      <c r="D9">
        <v>48.7</v>
      </c>
      <c r="E9">
        <v>0.497</v>
      </c>
      <c r="F9" t="s">
        <v>32</v>
      </c>
      <c r="G9" t="s">
        <v>28</v>
      </c>
      <c r="H9">
        <v>80</v>
      </c>
      <c r="I9" t="s">
        <v>56</v>
      </c>
      <c r="J9">
        <v>124</v>
      </c>
      <c r="K9">
        <v>6193</v>
      </c>
      <c r="L9">
        <f t="shared" si="0"/>
        <v>2.0022606168254482E-2</v>
      </c>
      <c r="M9">
        <v>4.3649281446794764E-3</v>
      </c>
      <c r="N9">
        <v>4.8054254803810755E-4</v>
      </c>
      <c r="O9">
        <v>1.4616502502825771E-3</v>
      </c>
      <c r="P9">
        <v>6.4072339738414333E-4</v>
      </c>
      <c r="Q9" s="1">
        <v>2.0022606181146499E-2</v>
      </c>
    </row>
    <row r="10" spans="1:17" x14ac:dyDescent="0.25">
      <c r="A10" t="s">
        <v>39</v>
      </c>
      <c r="B10">
        <v>2001</v>
      </c>
      <c r="C10" t="s">
        <v>26</v>
      </c>
      <c r="D10">
        <v>37.200000000000003</v>
      </c>
      <c r="E10">
        <v>0.39</v>
      </c>
      <c r="F10" t="s">
        <v>33</v>
      </c>
      <c r="G10" t="s">
        <v>28</v>
      </c>
      <c r="H10">
        <v>80</v>
      </c>
      <c r="I10" t="s">
        <v>55</v>
      </c>
      <c r="J10">
        <v>32</v>
      </c>
      <c r="K10">
        <v>81</v>
      </c>
      <c r="L10">
        <f t="shared" si="0"/>
        <v>0.39506172839506171</v>
      </c>
      <c r="M10">
        <v>0.21875</v>
      </c>
      <c r="N10">
        <v>6.25E-2</v>
      </c>
      <c r="O10">
        <v>3.125E-2</v>
      </c>
      <c r="P10">
        <v>3.125E-2</v>
      </c>
      <c r="Q10" s="1">
        <v>0.39506172841225801</v>
      </c>
    </row>
    <row r="11" spans="1:17" x14ac:dyDescent="0.25">
      <c r="A11" t="s">
        <v>20</v>
      </c>
      <c r="B11">
        <v>2002</v>
      </c>
      <c r="C11" t="s">
        <v>13</v>
      </c>
      <c r="D11">
        <v>44.9</v>
      </c>
      <c r="E11">
        <v>0.6</v>
      </c>
      <c r="F11" t="s">
        <v>27</v>
      </c>
      <c r="G11" t="s">
        <v>28</v>
      </c>
      <c r="H11">
        <v>40</v>
      </c>
      <c r="I11" t="s">
        <v>59</v>
      </c>
      <c r="J11">
        <v>19</v>
      </c>
      <c r="K11">
        <v>314</v>
      </c>
      <c r="L11">
        <f t="shared" si="0"/>
        <v>6.0509554140127389E-2</v>
      </c>
      <c r="M11">
        <v>2.6472929936305734E-2</v>
      </c>
      <c r="N11">
        <v>0</v>
      </c>
      <c r="O11">
        <v>3.7818471337579618E-3</v>
      </c>
      <c r="P11">
        <v>7.5636942675159236E-3</v>
      </c>
      <c r="Q11" s="1">
        <v>6.0509554166456099E-2</v>
      </c>
    </row>
    <row r="12" spans="1:17" x14ac:dyDescent="0.25">
      <c r="A12" t="s">
        <v>21</v>
      </c>
      <c r="B12">
        <v>2002</v>
      </c>
      <c r="C12" t="s">
        <v>13</v>
      </c>
      <c r="D12">
        <v>44.9</v>
      </c>
      <c r="E12">
        <v>0.6</v>
      </c>
      <c r="F12" t="s">
        <v>27</v>
      </c>
      <c r="G12" t="s">
        <v>29</v>
      </c>
      <c r="H12">
        <v>40</v>
      </c>
      <c r="I12" t="s">
        <v>59</v>
      </c>
      <c r="J12">
        <v>17</v>
      </c>
      <c r="K12">
        <v>317</v>
      </c>
      <c r="L12">
        <f t="shared" si="0"/>
        <v>5.362776025236593E-2</v>
      </c>
      <c r="M12">
        <v>2.3462145110410094E-2</v>
      </c>
      <c r="N12">
        <v>0</v>
      </c>
      <c r="O12">
        <v>3.3517350157728706E-3</v>
      </c>
      <c r="P12">
        <v>6.7034700315457413E-3</v>
      </c>
      <c r="Q12" s="1">
        <v>5.36277602769685E-2</v>
      </c>
    </row>
    <row r="13" spans="1:17" x14ac:dyDescent="0.25">
      <c r="A13" t="s">
        <v>4</v>
      </c>
      <c r="B13">
        <v>2017</v>
      </c>
      <c r="C13" t="s">
        <v>13</v>
      </c>
      <c r="D13">
        <v>57</v>
      </c>
      <c r="E13">
        <v>0.214</v>
      </c>
      <c r="F13" t="s">
        <v>33</v>
      </c>
      <c r="G13" t="s">
        <v>28</v>
      </c>
      <c r="H13">
        <v>80</v>
      </c>
      <c r="I13" t="s">
        <v>59</v>
      </c>
      <c r="J13">
        <v>7</v>
      </c>
      <c r="K13">
        <v>16</v>
      </c>
      <c r="L13">
        <f t="shared" si="0"/>
        <v>0.4375</v>
      </c>
      <c r="M13">
        <v>0.37493749999999998</v>
      </c>
      <c r="N13">
        <v>0</v>
      </c>
      <c r="O13">
        <v>0</v>
      </c>
      <c r="P13">
        <v>0.24981249999999999</v>
      </c>
      <c r="Q13" s="1">
        <v>0.43750000001044398</v>
      </c>
    </row>
    <row r="14" spans="1:17" x14ac:dyDescent="0.25">
      <c r="A14" t="s">
        <v>5</v>
      </c>
      <c r="B14">
        <v>2017</v>
      </c>
      <c r="C14" t="s">
        <v>13</v>
      </c>
      <c r="D14">
        <v>54</v>
      </c>
      <c r="E14">
        <v>0.28999999999999998</v>
      </c>
      <c r="F14" t="s">
        <v>32</v>
      </c>
      <c r="G14" t="s">
        <v>29</v>
      </c>
      <c r="H14">
        <v>80</v>
      </c>
      <c r="I14" t="s">
        <v>59</v>
      </c>
      <c r="J14">
        <v>4</v>
      </c>
      <c r="K14">
        <v>239</v>
      </c>
      <c r="L14">
        <f t="shared" si="0"/>
        <v>1.6736401673640166E-2</v>
      </c>
      <c r="P14">
        <v>2.7949790794979079E-4</v>
      </c>
      <c r="Q14" s="1">
        <v>1.673640168496E-2</v>
      </c>
    </row>
    <row r="15" spans="1:17" x14ac:dyDescent="0.25">
      <c r="A15" t="s">
        <v>42</v>
      </c>
      <c r="B15">
        <v>2021</v>
      </c>
      <c r="C15" t="s">
        <v>26</v>
      </c>
      <c r="D15">
        <v>55</v>
      </c>
      <c r="E15">
        <v>0.31</v>
      </c>
      <c r="F15" t="s">
        <v>33</v>
      </c>
      <c r="G15" t="s">
        <v>28</v>
      </c>
      <c r="H15">
        <v>80</v>
      </c>
      <c r="I15" t="s">
        <v>59</v>
      </c>
      <c r="J15">
        <v>48</v>
      </c>
      <c r="K15">
        <v>54</v>
      </c>
      <c r="L15">
        <f t="shared" si="0"/>
        <v>0.88888888888888884</v>
      </c>
      <c r="M15">
        <v>0.61199999999999999</v>
      </c>
      <c r="N15">
        <v>8.8999999999999996E-2</v>
      </c>
      <c r="O15">
        <v>0.05</v>
      </c>
      <c r="P15">
        <v>1.6E-2</v>
      </c>
      <c r="Q15" s="1">
        <v>0.88888888885420603</v>
      </c>
    </row>
    <row r="16" spans="1:17" x14ac:dyDescent="0.25">
      <c r="A16" t="s">
        <v>43</v>
      </c>
      <c r="B16">
        <v>2021</v>
      </c>
      <c r="C16" t="s">
        <v>26</v>
      </c>
      <c r="D16">
        <v>55</v>
      </c>
      <c r="E16">
        <v>0.31</v>
      </c>
      <c r="F16" t="s">
        <v>33</v>
      </c>
      <c r="G16" t="s">
        <v>28</v>
      </c>
      <c r="H16">
        <v>80</v>
      </c>
      <c r="I16" t="s">
        <v>57</v>
      </c>
      <c r="J16">
        <v>53</v>
      </c>
      <c r="K16">
        <v>54</v>
      </c>
      <c r="L16">
        <f t="shared" si="0"/>
        <v>0.98148148148148151</v>
      </c>
      <c r="M16">
        <v>0.61199999999999999</v>
      </c>
      <c r="N16">
        <v>8.8999999999999996E-2</v>
      </c>
      <c r="O16">
        <v>0.05</v>
      </c>
      <c r="P16">
        <v>1.6E-2</v>
      </c>
      <c r="Q16" s="1">
        <v>0.98148148146929504</v>
      </c>
    </row>
    <row r="17" spans="1:17" x14ac:dyDescent="0.25">
      <c r="A17" t="s">
        <v>6</v>
      </c>
      <c r="B17">
        <v>1996</v>
      </c>
      <c r="C17" t="s">
        <v>17</v>
      </c>
      <c r="D17" s="2">
        <v>51</v>
      </c>
      <c r="E17">
        <v>0.52</v>
      </c>
      <c r="F17" t="s">
        <v>32</v>
      </c>
      <c r="G17" t="s">
        <v>28</v>
      </c>
      <c r="H17">
        <v>40</v>
      </c>
      <c r="I17" t="s">
        <v>56</v>
      </c>
      <c r="J17">
        <v>7</v>
      </c>
      <c r="K17">
        <v>339</v>
      </c>
      <c r="L17">
        <f t="shared" si="0"/>
        <v>2.0648967551622419E-2</v>
      </c>
      <c r="M17">
        <v>2.949849557522124E-3</v>
      </c>
      <c r="N17">
        <v>0</v>
      </c>
      <c r="O17">
        <v>0</v>
      </c>
      <c r="P17">
        <v>0</v>
      </c>
      <c r="Q17" s="1">
        <v>2.06489675648019E-2</v>
      </c>
    </row>
    <row r="18" spans="1:17" x14ac:dyDescent="0.25">
      <c r="A18" t="s">
        <v>24</v>
      </c>
      <c r="B18">
        <v>2000</v>
      </c>
      <c r="C18" t="s">
        <v>13</v>
      </c>
      <c r="D18">
        <v>44.35</v>
      </c>
      <c r="E18">
        <v>0.69699999999999995</v>
      </c>
      <c r="F18" t="s">
        <v>32</v>
      </c>
      <c r="G18" t="s">
        <v>28</v>
      </c>
      <c r="H18">
        <v>40</v>
      </c>
      <c r="I18" t="s">
        <v>56</v>
      </c>
      <c r="J18">
        <v>2</v>
      </c>
      <c r="K18">
        <v>180</v>
      </c>
      <c r="L18">
        <f t="shared" si="0"/>
        <v>1.1111111111111112E-2</v>
      </c>
      <c r="Q18" s="1">
        <v>1.1111111119439901E-2</v>
      </c>
    </row>
    <row r="19" spans="1:17" x14ac:dyDescent="0.25">
      <c r="A19" t="s">
        <v>25</v>
      </c>
      <c r="B19">
        <v>2000</v>
      </c>
      <c r="C19" t="s">
        <v>13</v>
      </c>
      <c r="D19">
        <v>44.35</v>
      </c>
      <c r="E19">
        <v>0.69699999999999995</v>
      </c>
      <c r="F19" t="s">
        <v>32</v>
      </c>
      <c r="G19" t="s">
        <v>28</v>
      </c>
      <c r="H19">
        <v>40</v>
      </c>
      <c r="I19" t="s">
        <v>56</v>
      </c>
      <c r="J19">
        <v>6</v>
      </c>
      <c r="K19">
        <v>371</v>
      </c>
      <c r="L19">
        <f t="shared" si="0"/>
        <v>1.6172506738544475E-2</v>
      </c>
      <c r="Q19" s="1">
        <v>1.6172506749582798E-2</v>
      </c>
    </row>
    <row r="20" spans="1:17" x14ac:dyDescent="0.25">
      <c r="A20" t="s">
        <v>50</v>
      </c>
      <c r="B20">
        <v>2008</v>
      </c>
      <c r="C20" t="s">
        <v>26</v>
      </c>
      <c r="D20">
        <v>43.8</v>
      </c>
      <c r="E20">
        <v>0.21</v>
      </c>
      <c r="F20" t="s">
        <v>33</v>
      </c>
      <c r="G20" t="s">
        <v>28</v>
      </c>
      <c r="H20">
        <v>160</v>
      </c>
      <c r="I20" t="s">
        <v>59</v>
      </c>
      <c r="J20">
        <v>118</v>
      </c>
      <c r="K20">
        <v>437</v>
      </c>
      <c r="L20">
        <f>J20/K20</f>
        <v>0.27002288329519453</v>
      </c>
      <c r="M20">
        <v>8.5820889999999997E-2</v>
      </c>
      <c r="N20">
        <v>0</v>
      </c>
      <c r="O20">
        <v>3.7299999999999998E-3</v>
      </c>
      <c r="P20">
        <v>7.4626859999999996E-3</v>
      </c>
      <c r="Q20" s="1">
        <v>0.27002288332829799</v>
      </c>
    </row>
    <row r="21" spans="1:17" x14ac:dyDescent="0.25">
      <c r="A21" t="s">
        <v>51</v>
      </c>
      <c r="B21">
        <v>2008</v>
      </c>
      <c r="C21" t="s">
        <v>26</v>
      </c>
      <c r="D21">
        <v>43.8</v>
      </c>
      <c r="E21">
        <v>0.21</v>
      </c>
      <c r="F21" t="s">
        <v>33</v>
      </c>
      <c r="G21" t="s">
        <v>28</v>
      </c>
      <c r="H21">
        <v>160</v>
      </c>
      <c r="I21" t="s">
        <v>56</v>
      </c>
      <c r="J21">
        <v>69</v>
      </c>
      <c r="K21">
        <v>169</v>
      </c>
      <c r="L21">
        <f>J21/K21</f>
        <v>0.40828402366863903</v>
      </c>
      <c r="M21">
        <v>0.13609460000000001</v>
      </c>
      <c r="N21">
        <v>0</v>
      </c>
      <c r="O21">
        <v>5.9170000000000004E-3</v>
      </c>
      <c r="P21">
        <v>1.1834000000000001E-2</v>
      </c>
      <c r="Q21" s="1">
        <v>0.40828402368377797</v>
      </c>
    </row>
    <row r="22" spans="1:17" x14ac:dyDescent="0.25">
      <c r="A22" t="s">
        <v>44</v>
      </c>
      <c r="B22">
        <v>2012</v>
      </c>
      <c r="C22" t="s">
        <v>26</v>
      </c>
      <c r="D22">
        <v>51.2</v>
      </c>
      <c r="E22">
        <v>0.32</v>
      </c>
      <c r="F22" t="s">
        <v>33</v>
      </c>
      <c r="G22" t="s">
        <v>28</v>
      </c>
      <c r="H22">
        <v>100</v>
      </c>
      <c r="I22" t="s">
        <v>59</v>
      </c>
      <c r="J22">
        <v>30</v>
      </c>
      <c r="K22">
        <v>122</v>
      </c>
      <c r="L22">
        <f t="shared" si="0"/>
        <v>0.24590163934426229</v>
      </c>
      <c r="M22">
        <v>9.3841999999999995E-2</v>
      </c>
      <c r="N22">
        <v>2.0390430000000001E-2</v>
      </c>
      <c r="O22">
        <v>6.9512829999999999E-3</v>
      </c>
      <c r="P22">
        <v>3.2439320000000002E-3</v>
      </c>
      <c r="Q22" s="1">
        <v>0.245901639379353</v>
      </c>
    </row>
    <row r="23" spans="1:17" x14ac:dyDescent="0.25">
      <c r="A23" t="s">
        <v>45</v>
      </c>
      <c r="B23">
        <v>2012</v>
      </c>
      <c r="C23" t="s">
        <v>26</v>
      </c>
      <c r="D23">
        <v>49.8</v>
      </c>
      <c r="E23">
        <v>0.49</v>
      </c>
      <c r="F23" t="s">
        <v>27</v>
      </c>
      <c r="G23" t="s">
        <v>28</v>
      </c>
      <c r="H23">
        <v>100</v>
      </c>
      <c r="I23" t="s">
        <v>59</v>
      </c>
      <c r="J23">
        <v>18</v>
      </c>
      <c r="K23">
        <v>203</v>
      </c>
      <c r="L23">
        <f t="shared" si="0"/>
        <v>8.8669950738916259E-2</v>
      </c>
      <c r="M23">
        <v>2.1255244999999999E-2</v>
      </c>
      <c r="N23">
        <v>4.8300000000000001E-3</v>
      </c>
      <c r="O23">
        <v>1.642E-3</v>
      </c>
      <c r="P23">
        <v>7.2979299999999996E-4</v>
      </c>
      <c r="Q23" s="1">
        <v>8.8669950770711797E-2</v>
      </c>
    </row>
    <row r="24" spans="1:17" ht="15.75" customHeight="1" x14ac:dyDescent="0.25">
      <c r="A24" t="s">
        <v>8</v>
      </c>
      <c r="B24">
        <v>2017</v>
      </c>
      <c r="C24" t="s">
        <v>26</v>
      </c>
      <c r="D24">
        <v>3.8</v>
      </c>
      <c r="E24">
        <v>1.375</v>
      </c>
      <c r="F24" t="s">
        <v>27</v>
      </c>
      <c r="G24" t="s">
        <v>28</v>
      </c>
      <c r="H24">
        <v>100</v>
      </c>
      <c r="I24" t="s">
        <v>59</v>
      </c>
      <c r="J24">
        <v>102</v>
      </c>
      <c r="K24">
        <v>1192</v>
      </c>
      <c r="L24">
        <f t="shared" si="0"/>
        <v>8.557046979865772E-2</v>
      </c>
      <c r="M24">
        <v>6.3758385906040271E-2</v>
      </c>
      <c r="N24">
        <v>3.3543624161073821E-3</v>
      </c>
      <c r="O24">
        <v>1.6771812080536914E-2</v>
      </c>
      <c r="Q24" s="1">
        <v>8.5570469829961193E-2</v>
      </c>
    </row>
    <row r="25" spans="1:17" ht="15.75" customHeight="1" x14ac:dyDescent="0.25">
      <c r="A25" t="s">
        <v>46</v>
      </c>
      <c r="B25">
        <v>2006</v>
      </c>
      <c r="C25" t="s">
        <v>13</v>
      </c>
      <c r="D25">
        <v>43.5</v>
      </c>
      <c r="E25">
        <v>0.34</v>
      </c>
      <c r="F25" t="s">
        <v>33</v>
      </c>
      <c r="G25" t="s">
        <v>28</v>
      </c>
      <c r="H25">
        <v>160</v>
      </c>
      <c r="I25" t="s">
        <v>55</v>
      </c>
      <c r="J25">
        <v>208</v>
      </c>
      <c r="K25">
        <v>753</v>
      </c>
      <c r="L25">
        <f t="shared" si="0"/>
        <v>0.27622841965471445</v>
      </c>
      <c r="Q25" s="1">
        <v>0.27622841968723599</v>
      </c>
    </row>
    <row r="26" spans="1:17" ht="15.75" customHeight="1" x14ac:dyDescent="0.25">
      <c r="A26" t="s">
        <v>53</v>
      </c>
      <c r="B26">
        <v>2017</v>
      </c>
      <c r="C26" t="s">
        <v>17</v>
      </c>
      <c r="D26">
        <v>41.2</v>
      </c>
      <c r="E26">
        <v>0.25</v>
      </c>
      <c r="F26" t="s">
        <v>33</v>
      </c>
      <c r="G26" t="s">
        <v>28</v>
      </c>
      <c r="H26">
        <v>40</v>
      </c>
      <c r="I26" t="s">
        <v>59</v>
      </c>
      <c r="J26">
        <v>16</v>
      </c>
      <c r="K26">
        <v>46</v>
      </c>
      <c r="L26">
        <f>J26/K26</f>
        <v>0.34782608695652173</v>
      </c>
      <c r="M26">
        <v>4.7619000000000002E-2</v>
      </c>
      <c r="P26">
        <v>0.15217391299999999</v>
      </c>
      <c r="Q26" s="1">
        <v>0.34782608698060202</v>
      </c>
    </row>
    <row r="27" spans="1:17" ht="15.75" customHeight="1" x14ac:dyDescent="0.25">
      <c r="A27" t="s">
        <v>47</v>
      </c>
      <c r="B27">
        <v>2004</v>
      </c>
      <c r="C27" t="s">
        <v>13</v>
      </c>
      <c r="D27">
        <v>52.3</v>
      </c>
      <c r="E27">
        <v>0.39</v>
      </c>
      <c r="F27" t="s">
        <v>27</v>
      </c>
      <c r="G27" t="s">
        <v>28</v>
      </c>
      <c r="H27">
        <v>80</v>
      </c>
      <c r="I27" t="s">
        <v>59</v>
      </c>
      <c r="J27">
        <v>8</v>
      </c>
      <c r="K27">
        <v>53</v>
      </c>
      <c r="L27">
        <f t="shared" si="0"/>
        <v>0.15094339622641509</v>
      </c>
      <c r="M27">
        <v>2.72727E-2</v>
      </c>
      <c r="N27">
        <v>3.0303000000000001E-3</v>
      </c>
      <c r="O27">
        <v>0</v>
      </c>
      <c r="P27">
        <v>3.0303000000000001E-3</v>
      </c>
      <c r="Q27" s="1">
        <v>0.15094339626379699</v>
      </c>
    </row>
    <row r="28" spans="1:17" ht="15.75" customHeight="1" x14ac:dyDescent="0.25">
      <c r="A28" t="s">
        <v>40</v>
      </c>
      <c r="B28">
        <v>2015</v>
      </c>
      <c r="C28" t="s">
        <v>13</v>
      </c>
      <c r="D28">
        <v>56</v>
      </c>
      <c r="E28">
        <v>0.44</v>
      </c>
      <c r="F28" t="s">
        <v>27</v>
      </c>
      <c r="G28" t="s">
        <v>28</v>
      </c>
      <c r="H28">
        <v>160</v>
      </c>
      <c r="I28" t="s">
        <v>59</v>
      </c>
      <c r="J28">
        <v>56</v>
      </c>
      <c r="K28">
        <v>1272</v>
      </c>
      <c r="L28">
        <f t="shared" si="0"/>
        <v>4.40251572327044E-2</v>
      </c>
      <c r="M28">
        <v>8.6400000000000001E-3</v>
      </c>
      <c r="N28">
        <v>0</v>
      </c>
      <c r="O28">
        <v>0</v>
      </c>
      <c r="P28">
        <v>1.57E-3</v>
      </c>
      <c r="Q28" s="1">
        <v>4.4025157254580699E-2</v>
      </c>
    </row>
    <row r="29" spans="1:17" ht="15.75" customHeight="1" x14ac:dyDescent="0.25">
      <c r="A29" t="s">
        <v>41</v>
      </c>
      <c r="B29">
        <v>2010</v>
      </c>
      <c r="C29" t="s">
        <v>26</v>
      </c>
      <c r="D29">
        <v>45.6</v>
      </c>
      <c r="E29">
        <v>0.41</v>
      </c>
      <c r="F29" t="s">
        <v>27</v>
      </c>
      <c r="G29" t="s">
        <v>28</v>
      </c>
      <c r="H29">
        <v>100</v>
      </c>
      <c r="I29" t="s">
        <v>59</v>
      </c>
      <c r="J29">
        <v>31</v>
      </c>
      <c r="K29">
        <v>197</v>
      </c>
      <c r="L29">
        <f t="shared" si="0"/>
        <v>0.15736040609137056</v>
      </c>
      <c r="M29">
        <v>0.13197969500000001</v>
      </c>
      <c r="N29">
        <v>0</v>
      </c>
      <c r="O29">
        <v>2.538E-2</v>
      </c>
      <c r="P29">
        <v>0</v>
      </c>
      <c r="Q29" s="1">
        <v>0.157360406128945</v>
      </c>
    </row>
    <row r="30" spans="1:17" x14ac:dyDescent="0.25">
      <c r="A30" t="s">
        <v>9</v>
      </c>
      <c r="B30">
        <v>2014</v>
      </c>
      <c r="C30" t="s">
        <v>13</v>
      </c>
      <c r="D30">
        <v>39.4</v>
      </c>
      <c r="E30">
        <v>0.28999999999999998</v>
      </c>
      <c r="F30" t="s">
        <v>32</v>
      </c>
      <c r="G30" t="s">
        <v>28</v>
      </c>
      <c r="H30">
        <v>100</v>
      </c>
      <c r="I30" t="s">
        <v>59</v>
      </c>
      <c r="J30">
        <v>31</v>
      </c>
      <c r="K30">
        <v>4338</v>
      </c>
      <c r="L30">
        <f t="shared" si="0"/>
        <v>7.1461502996772704E-3</v>
      </c>
      <c r="M30">
        <v>6.2240660903642225E-3</v>
      </c>
      <c r="N30">
        <v>0</v>
      </c>
      <c r="O30">
        <v>4.6092669432918395E-4</v>
      </c>
      <c r="P30">
        <v>0</v>
      </c>
      <c r="Q30" s="1">
        <v>7.1461503055890597E-3</v>
      </c>
    </row>
    <row r="31" spans="1:17" x14ac:dyDescent="0.25">
      <c r="A31" t="s">
        <v>48</v>
      </c>
      <c r="B31">
        <v>2021</v>
      </c>
      <c r="C31" t="s">
        <v>13</v>
      </c>
      <c r="D31">
        <v>51.3</v>
      </c>
      <c r="E31">
        <v>0.36</v>
      </c>
      <c r="F31" t="s">
        <v>32</v>
      </c>
      <c r="G31" t="s">
        <v>28</v>
      </c>
      <c r="H31">
        <v>80</v>
      </c>
      <c r="I31" t="s">
        <v>56</v>
      </c>
      <c r="J31">
        <v>9</v>
      </c>
      <c r="K31">
        <v>468</v>
      </c>
      <c r="L31">
        <f t="shared" si="0"/>
        <v>1.9230769230769232E-2</v>
      </c>
      <c r="M31">
        <v>1.9230770000000001E-2</v>
      </c>
      <c r="Q31" s="1">
        <v>1.9230769243292499E-2</v>
      </c>
    </row>
    <row r="32" spans="1:17" x14ac:dyDescent="0.25">
      <c r="A32" t="s">
        <v>10</v>
      </c>
      <c r="B32">
        <v>2006</v>
      </c>
      <c r="C32" t="s">
        <v>13</v>
      </c>
      <c r="D32">
        <v>44</v>
      </c>
      <c r="E32">
        <v>0.46</v>
      </c>
      <c r="F32" t="s">
        <v>27</v>
      </c>
      <c r="G32" t="s">
        <v>29</v>
      </c>
      <c r="H32">
        <v>40</v>
      </c>
      <c r="I32" t="s">
        <v>59</v>
      </c>
      <c r="J32">
        <v>26</v>
      </c>
      <c r="K32">
        <v>259</v>
      </c>
      <c r="L32">
        <f t="shared" si="0"/>
        <v>0.10038610038610038</v>
      </c>
      <c r="M32">
        <v>3.0887799227799231E-2</v>
      </c>
      <c r="N32">
        <v>0</v>
      </c>
      <c r="O32">
        <v>1.1582548262548262E-2</v>
      </c>
      <c r="P32">
        <v>3.8608494208494212E-3</v>
      </c>
      <c r="Q32" s="1">
        <v>0.100386100419544</v>
      </c>
    </row>
    <row r="33" spans="1:17" x14ac:dyDescent="0.25">
      <c r="A33" t="s">
        <v>11</v>
      </c>
      <c r="B33">
        <v>2023</v>
      </c>
      <c r="C33" t="s">
        <v>13</v>
      </c>
      <c r="D33">
        <v>56.1</v>
      </c>
      <c r="E33">
        <v>0.6</v>
      </c>
      <c r="F33" t="s">
        <v>33</v>
      </c>
      <c r="G33" t="s">
        <v>29</v>
      </c>
      <c r="H33">
        <v>160</v>
      </c>
      <c r="I33" t="s">
        <v>55</v>
      </c>
      <c r="J33">
        <v>417</v>
      </c>
      <c r="K33">
        <v>1728</v>
      </c>
      <c r="L33">
        <f t="shared" si="0"/>
        <v>0.24131944444444445</v>
      </c>
      <c r="M33">
        <v>0.11076562500000001</v>
      </c>
      <c r="N33">
        <v>1.6892361111111112E-3</v>
      </c>
      <c r="O33">
        <v>2.5097222222222219E-2</v>
      </c>
      <c r="P33">
        <v>1.0376736111111109E-2</v>
      </c>
      <c r="Q33" s="1">
        <v>0.24131944447986001</v>
      </c>
    </row>
    <row r="34" spans="1:17" x14ac:dyDescent="0.25">
      <c r="A34" t="s">
        <v>12</v>
      </c>
      <c r="B34">
        <v>2022</v>
      </c>
      <c r="C34" t="s">
        <v>26</v>
      </c>
      <c r="D34">
        <v>48</v>
      </c>
      <c r="E34">
        <v>0.19</v>
      </c>
      <c r="F34" t="s">
        <v>33</v>
      </c>
      <c r="G34" t="s">
        <v>28</v>
      </c>
      <c r="H34">
        <v>80</v>
      </c>
      <c r="I34" t="s">
        <v>59</v>
      </c>
      <c r="J34">
        <v>6</v>
      </c>
      <c r="K34">
        <v>16</v>
      </c>
      <c r="L34">
        <f t="shared" si="0"/>
        <v>0.375</v>
      </c>
      <c r="M34">
        <v>0.140625</v>
      </c>
      <c r="N34">
        <v>0</v>
      </c>
      <c r="O34">
        <v>0</v>
      </c>
      <c r="P34">
        <v>0</v>
      </c>
      <c r="Q34" s="1">
        <v>0.37500000002021799</v>
      </c>
    </row>
  </sheetData>
  <autoFilter ref="A1:Q34" xr:uid="{4BDAD27C-190F-484E-A167-7C355532E03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IIF- ENA+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dhaou</dc:creator>
  <cp:lastModifiedBy>tarak</cp:lastModifiedBy>
  <dcterms:created xsi:type="dcterms:W3CDTF">2024-07-02T08:39:05Z</dcterms:created>
  <dcterms:modified xsi:type="dcterms:W3CDTF">2026-10-12T07:26:04Z</dcterms:modified>
</cp:coreProperties>
</file>