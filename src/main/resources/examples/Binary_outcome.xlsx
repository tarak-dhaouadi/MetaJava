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#10 Travaux 2026\#3 Syntaxes R\R Meta Java App\X adds to app\Examlpe datasets\"/>
    </mc:Choice>
  </mc:AlternateContent>
  <xr:revisionPtr revIDLastSave="0" documentId="13_ncr:1_{A35642EE-BFF9-4CD2-BAD2-AFBC4B48D152}" xr6:coauthVersionLast="47" xr6:coauthVersionMax="47" xr10:uidLastSave="{00000000-0000-0000-0000-000000000000}"/>
  <bookViews>
    <workbookView xWindow="-120" yWindow="-120" windowWidth="29040" windowHeight="15720" xr2:uid="{225426D5-6762-4F9D-8AE3-E53AA1F48B1C}"/>
  </bookViews>
  <sheets>
    <sheet name="rs1800896 vs HVC" sheetId="1" r:id="rId1"/>
  </sheets>
  <definedNames>
    <definedName name="_xlnm._FilterDatabase" localSheetId="0" hidden="1">'rs1800896 vs HVC'!$A$1:$B$20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17" i="1" l="1"/>
  <c r="J14" i="1"/>
  <c r="J10" i="1"/>
</calcChain>
</file>

<file path=xl/sharedStrings.xml><?xml version="1.0" encoding="utf-8"?>
<sst xmlns="http://schemas.openxmlformats.org/spreadsheetml/2006/main" count="80" uniqueCount="40">
  <si>
    <t>Study</t>
  </si>
  <si>
    <t>Continent</t>
  </si>
  <si>
    <t>Africa</t>
  </si>
  <si>
    <t>Asia</t>
  </si>
  <si>
    <t>Europe</t>
  </si>
  <si>
    <t>America</t>
  </si>
  <si>
    <t>Sadik 2015</t>
  </si>
  <si>
    <t>Helal 2014</t>
  </si>
  <si>
    <t>Abdelraheem 2016</t>
  </si>
  <si>
    <t>Sghaier 2017</t>
  </si>
  <si>
    <t>Shaker 2013</t>
  </si>
  <si>
    <t>El Karaksy 2016</t>
  </si>
  <si>
    <t>Pasha 2018</t>
  </si>
  <si>
    <t>Paladino 2006</t>
  </si>
  <si>
    <t>Fabricio-Silva 2015</t>
  </si>
  <si>
    <t>Par 2011</t>
  </si>
  <si>
    <t>de Souza 2018</t>
  </si>
  <si>
    <t>Grandi 2014</t>
  </si>
  <si>
    <t>Morgan 2008</t>
  </si>
  <si>
    <t>Naeemi 2017</t>
  </si>
  <si>
    <t>Chuang 2009</t>
  </si>
  <si>
    <t>Kusumoto 2006</t>
  </si>
  <si>
    <t>Swiatek-Koscielna 2016</t>
  </si>
  <si>
    <t>Knapp 2003</t>
  </si>
  <si>
    <t>Mangia 2004</t>
  </si>
  <si>
    <t>Edwards-Smith 1999</t>
  </si>
  <si>
    <t>Mean Age</t>
  </si>
  <si>
    <t>Gender ratio</t>
  </si>
  <si>
    <t>SVR/NR</t>
  </si>
  <si>
    <t>*1082 G HCV</t>
  </si>
  <si>
    <t>Khan 2014</t>
  </si>
  <si>
    <t>Medhat 2014</t>
  </si>
  <si>
    <t>Obada 2017</t>
  </si>
  <si>
    <t>Treatment</t>
  </si>
  <si>
    <t>IFN + RBV</t>
  </si>
  <si>
    <t>IFN</t>
  </si>
  <si>
    <t>Events_Treatment</t>
  </si>
  <si>
    <t>N_treatment</t>
  </si>
  <si>
    <t>Events_controls</t>
  </si>
  <si>
    <t>N_controls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</si>
</sst>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2">
    <cellStyle name="Normal" xfId="0" builtinId="0"/>
    <cellStyle name="Normal 2" xfId="1" xr:uid="{0A81318D-602A-40F8-85C2-2C208902E9F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15D65-E7A1-4AD5-B2D3-BD6AE4B4A962}">
  <dimension ref="A1:K24"/>
  <sheetViews>
    <sheetView tabSelected="1" workbookViewId="0">
      <selection activeCell="F24" sqref="F24"/>
    </sheetView>
  </sheetViews>
  <sheetFormatPr defaultColWidth="9.140625" defaultRowHeight="15" x14ac:dyDescent="0.25"/>
  <cols>
    <col min="1" max="1" width="26" style="4" bestFit="1" customWidth="1"/>
    <col min="2" max="2" width="14" style="4" bestFit="1" customWidth="1"/>
    <col min="3" max="3" width="17.42578125" style="1" bestFit="1" customWidth="1"/>
    <col min="4" max="4" width="12.42578125" style="1" bestFit="1" customWidth="1"/>
    <col min="5" max="5" width="15.140625" style="1" bestFit="1" customWidth="1"/>
    <col min="6" max="6" width="11.5703125" style="1" bestFit="1" customWidth="1"/>
    <col min="7" max="7" width="10" style="1" bestFit="1" customWidth="1"/>
    <col min="8" max="8" width="11.42578125" style="1" bestFit="1" customWidth="1"/>
    <col min="9" max="9" width="11.42578125" style="1" customWidth="1"/>
    <col min="10" max="10" width="9.140625" style="1"/>
    <col min="11" max="11" width="11.7109375" style="1" bestFit="1" customWidth="1"/>
    <col min="12" max="16384" width="9.140625" style="1"/>
  </cols>
  <sheetData>
    <row r="1" spans="1:11" s="2" customFormat="1" x14ac:dyDescent="0.25">
      <c r="A1" s="3" t="s">
        <v>0</v>
      </c>
      <c r="B1" s="3" t="s">
        <v>1</v>
      </c>
      <c r="C1" s="2" t="s">
        <v>36</v>
      </c>
      <c r="D1" s="2" t="s">
        <v>37</v>
      </c>
      <c r="E1" s="2" t="s">
        <v>38</v>
      </c>
      <c r="F1" s="2" t="s">
        <v>39</v>
      </c>
      <c r="G1" s="2" t="s">
        <v>26</v>
      </c>
      <c r="H1" s="2" t="s">
        <v>27</v>
      </c>
      <c r="I1" s="2" t="s">
        <v>33</v>
      </c>
      <c r="J1" s="2" t="s">
        <v>28</v>
      </c>
      <c r="K1" s="2" t="s">
        <v>29</v>
      </c>
    </row>
    <row r="2" spans="1:11" x14ac:dyDescent="0.25">
      <c r="A2" s="4" t="s">
        <v>8</v>
      </c>
      <c r="B2" s="4" t="s">
        <v>2</v>
      </c>
      <c r="C2" s="1">
        <v>49</v>
      </c>
      <c r="D2" s="1">
        <v>100</v>
      </c>
      <c r="E2" s="1">
        <v>36</v>
      </c>
      <c r="F2" s="1">
        <v>100</v>
      </c>
      <c r="G2" s="1">
        <v>46.4</v>
      </c>
      <c r="H2" s="1">
        <v>13.28</v>
      </c>
      <c r="I2" s="1" t="s">
        <v>34</v>
      </c>
      <c r="J2" s="1">
        <v>1</v>
      </c>
      <c r="K2" s="1">
        <v>0.42499999999999999</v>
      </c>
    </row>
    <row r="3" spans="1:11" x14ac:dyDescent="0.25">
      <c r="A3" s="4" t="s">
        <v>20</v>
      </c>
      <c r="B3" s="4" t="s">
        <v>3</v>
      </c>
      <c r="C3" s="1">
        <v>4</v>
      </c>
      <c r="D3" s="1">
        <v>92</v>
      </c>
      <c r="E3" s="1">
        <v>7</v>
      </c>
      <c r="F3" s="1">
        <v>194</v>
      </c>
      <c r="G3" s="1">
        <v>53.8</v>
      </c>
      <c r="H3" s="1">
        <v>1.75</v>
      </c>
      <c r="I3" s="1" t="s">
        <v>34</v>
      </c>
      <c r="J3" s="1">
        <v>2.1086956521739131</v>
      </c>
      <c r="K3" s="1">
        <v>3.8460000000000001E-2</v>
      </c>
    </row>
    <row r="4" spans="1:11" x14ac:dyDescent="0.25">
      <c r="A4" s="4" t="s">
        <v>16</v>
      </c>
      <c r="B4" s="4" t="s">
        <v>5</v>
      </c>
      <c r="C4" s="1">
        <v>36</v>
      </c>
      <c r="D4" s="1">
        <v>112</v>
      </c>
      <c r="E4" s="1">
        <v>8</v>
      </c>
      <c r="F4" s="1">
        <v>42</v>
      </c>
      <c r="G4" s="1">
        <v>54</v>
      </c>
      <c r="H4" s="1">
        <v>1.1599999999999999</v>
      </c>
      <c r="I4" s="1" t="s">
        <v>34</v>
      </c>
      <c r="J4" s="1">
        <v>0.40625</v>
      </c>
      <c r="K4" s="1">
        <v>0.27700000000000002</v>
      </c>
    </row>
    <row r="5" spans="1:11" x14ac:dyDescent="0.25">
      <c r="A5" s="4" t="s">
        <v>25</v>
      </c>
      <c r="B5" s="4" t="s">
        <v>4</v>
      </c>
      <c r="C5" s="1">
        <v>17</v>
      </c>
      <c r="D5" s="1">
        <v>34</v>
      </c>
      <c r="E5" s="1">
        <v>19</v>
      </c>
      <c r="F5" s="1">
        <v>48</v>
      </c>
      <c r="G5" s="1">
        <v>49</v>
      </c>
      <c r="H5" s="1">
        <v>2.2999999999999998</v>
      </c>
      <c r="I5" s="1" t="s">
        <v>35</v>
      </c>
      <c r="J5" s="1">
        <v>1.263157894736842</v>
      </c>
      <c r="K5" s="1">
        <v>0.44</v>
      </c>
    </row>
    <row r="6" spans="1:11" x14ac:dyDescent="0.25">
      <c r="A6" s="4" t="s">
        <v>11</v>
      </c>
      <c r="B6" s="4" t="s">
        <v>2</v>
      </c>
      <c r="C6" s="1">
        <v>17</v>
      </c>
      <c r="D6" s="1">
        <v>40</v>
      </c>
      <c r="E6" s="1">
        <v>13</v>
      </c>
      <c r="F6" s="1">
        <v>38</v>
      </c>
      <c r="G6" s="1">
        <v>47</v>
      </c>
      <c r="H6" s="1">
        <v>2</v>
      </c>
      <c r="I6" s="1" t="s">
        <v>34</v>
      </c>
      <c r="J6" s="1">
        <v>0.95</v>
      </c>
      <c r="K6" s="1">
        <v>0.61529999999999996</v>
      </c>
    </row>
    <row r="7" spans="1:11" x14ac:dyDescent="0.25">
      <c r="A7" s="4" t="s">
        <v>14</v>
      </c>
      <c r="B7" s="4" t="s">
        <v>5</v>
      </c>
      <c r="C7" s="1">
        <v>168</v>
      </c>
      <c r="D7" s="1">
        <v>490</v>
      </c>
      <c r="E7" s="1">
        <v>22</v>
      </c>
      <c r="F7" s="1">
        <v>82</v>
      </c>
      <c r="G7" s="1">
        <v>57.3</v>
      </c>
      <c r="H7" s="1">
        <v>0.98</v>
      </c>
      <c r="I7" s="1" t="s">
        <v>34</v>
      </c>
      <c r="J7" s="1">
        <v>0.53623188405797106</v>
      </c>
      <c r="K7" s="1">
        <v>0.372</v>
      </c>
    </row>
    <row r="8" spans="1:11" x14ac:dyDescent="0.25">
      <c r="A8" s="4" t="s">
        <v>17</v>
      </c>
      <c r="B8" s="4" t="s">
        <v>5</v>
      </c>
      <c r="C8" s="1">
        <v>42</v>
      </c>
      <c r="D8" s="1">
        <v>130</v>
      </c>
      <c r="E8" s="1">
        <v>89</v>
      </c>
      <c r="F8" s="1">
        <v>228</v>
      </c>
      <c r="G8" s="1">
        <v>50.4</v>
      </c>
      <c r="H8" s="1">
        <v>1.41</v>
      </c>
      <c r="I8" s="1" t="s">
        <v>34</v>
      </c>
      <c r="J8" s="1">
        <v>1.3411764705882352</v>
      </c>
      <c r="K8" s="1">
        <v>0.35599999999999998</v>
      </c>
    </row>
    <row r="9" spans="1:11" x14ac:dyDescent="0.25">
      <c r="A9" s="4" t="s">
        <v>7</v>
      </c>
      <c r="B9" s="4" t="s">
        <v>2</v>
      </c>
      <c r="C9" s="1">
        <v>63</v>
      </c>
      <c r="D9" s="1">
        <v>100</v>
      </c>
      <c r="E9" s="1">
        <v>40</v>
      </c>
      <c r="F9" s="1">
        <v>72</v>
      </c>
      <c r="G9" s="1">
        <v>51</v>
      </c>
      <c r="H9" s="1">
        <v>6.14</v>
      </c>
      <c r="I9" s="1" t="s">
        <v>34</v>
      </c>
      <c r="J9" s="1">
        <v>0.72</v>
      </c>
      <c r="K9" s="1">
        <v>0.61499999999999999</v>
      </c>
    </row>
    <row r="10" spans="1:11" x14ac:dyDescent="0.25">
      <c r="A10" s="4" t="s">
        <v>30</v>
      </c>
      <c r="B10" s="4" t="s">
        <v>3</v>
      </c>
      <c r="C10" s="1">
        <v>49</v>
      </c>
      <c r="D10" s="1">
        <v>104</v>
      </c>
      <c r="E10" s="1">
        <v>56</v>
      </c>
      <c r="F10" s="1">
        <v>196</v>
      </c>
      <c r="G10" s="1">
        <v>48.3</v>
      </c>
      <c r="H10" s="1">
        <v>1.238</v>
      </c>
      <c r="I10" s="1" t="s">
        <v>34</v>
      </c>
      <c r="J10" s="1">
        <f>98/52</f>
        <v>1.8846153846153846</v>
      </c>
      <c r="K10" s="1">
        <v>0.35</v>
      </c>
    </row>
    <row r="11" spans="1:11" x14ac:dyDescent="0.25">
      <c r="A11" s="4" t="s">
        <v>23</v>
      </c>
      <c r="B11" s="4" t="s">
        <v>4</v>
      </c>
      <c r="C11" s="1">
        <v>244</v>
      </c>
      <c r="D11" s="1">
        <v>524</v>
      </c>
      <c r="E11" s="1">
        <v>137</v>
      </c>
      <c r="F11" s="1">
        <v>296</v>
      </c>
      <c r="G11" s="1">
        <v>39</v>
      </c>
      <c r="H11" s="1">
        <v>1.18</v>
      </c>
      <c r="I11" s="1" t="s">
        <v>35</v>
      </c>
      <c r="J11" s="1">
        <v>0.18953068592057762</v>
      </c>
      <c r="K11" s="1">
        <v>0.44569999999999999</v>
      </c>
    </row>
    <row r="12" spans="1:11" x14ac:dyDescent="0.25">
      <c r="A12" s="4" t="s">
        <v>21</v>
      </c>
      <c r="B12" s="4" t="s">
        <v>3</v>
      </c>
      <c r="C12" s="1">
        <v>30</v>
      </c>
      <c r="D12" s="1">
        <v>692</v>
      </c>
      <c r="E12" s="1">
        <v>11</v>
      </c>
      <c r="F12" s="1">
        <v>228</v>
      </c>
      <c r="G12" s="1">
        <v>63.4</v>
      </c>
      <c r="H12" s="1">
        <v>0.54</v>
      </c>
      <c r="I12" s="1" t="s">
        <v>35</v>
      </c>
      <c r="J12" s="1">
        <v>0.32947976878612717</v>
      </c>
      <c r="K12" s="1">
        <v>4.4560000000000002E-2</v>
      </c>
    </row>
    <row r="13" spans="1:11" x14ac:dyDescent="0.25">
      <c r="A13" s="4" t="s">
        <v>24</v>
      </c>
      <c r="B13" s="4" t="s">
        <v>4</v>
      </c>
      <c r="C13" s="1">
        <v>165</v>
      </c>
      <c r="D13" s="1">
        <v>440</v>
      </c>
      <c r="E13" s="1">
        <v>26</v>
      </c>
      <c r="F13" s="1">
        <v>100</v>
      </c>
      <c r="G13" s="1">
        <v>52</v>
      </c>
      <c r="H13" s="1">
        <v>0.94</v>
      </c>
      <c r="I13" s="1" t="s">
        <v>35</v>
      </c>
      <c r="J13" s="1">
        <v>0.22727272727272727</v>
      </c>
      <c r="K13" s="1">
        <v>0.3518</v>
      </c>
    </row>
    <row r="14" spans="1:11" x14ac:dyDescent="0.25">
      <c r="A14" s="4" t="s">
        <v>31</v>
      </c>
      <c r="B14" s="4" t="s">
        <v>2</v>
      </c>
      <c r="C14" s="1">
        <v>49</v>
      </c>
      <c r="D14" s="1">
        <v>78</v>
      </c>
      <c r="E14" s="1">
        <v>47</v>
      </c>
      <c r="F14" s="1">
        <v>96</v>
      </c>
      <c r="G14" s="1">
        <v>43.12</v>
      </c>
      <c r="H14" s="1">
        <v>5.21</v>
      </c>
      <c r="I14" s="1" t="s">
        <v>34</v>
      </c>
      <c r="J14" s="1">
        <f>48/39</f>
        <v>1.2307692307692308</v>
      </c>
      <c r="K14" s="1">
        <v>0.55169999999999997</v>
      </c>
    </row>
    <row r="15" spans="1:11" x14ac:dyDescent="0.25">
      <c r="A15" s="4" t="s">
        <v>18</v>
      </c>
      <c r="B15" s="4" t="s">
        <v>5</v>
      </c>
      <c r="C15" s="1">
        <v>525</v>
      </c>
      <c r="D15" s="1">
        <v>1074</v>
      </c>
      <c r="E15" s="1">
        <v>95</v>
      </c>
      <c r="F15" s="1">
        <v>200</v>
      </c>
      <c r="G15" s="1">
        <v>50.1</v>
      </c>
      <c r="H15" s="1">
        <v>2.67</v>
      </c>
      <c r="I15" s="1" t="s">
        <v>34</v>
      </c>
      <c r="J15" s="1">
        <v>0.18621973929236499</v>
      </c>
      <c r="K15" s="1">
        <v>0.48665000000000003</v>
      </c>
    </row>
    <row r="16" spans="1:11" x14ac:dyDescent="0.25">
      <c r="A16" s="4" t="s">
        <v>19</v>
      </c>
      <c r="B16" s="4" t="s">
        <v>3</v>
      </c>
      <c r="C16" s="1">
        <v>88</v>
      </c>
      <c r="D16" s="1">
        <v>140</v>
      </c>
      <c r="E16" s="1">
        <v>124</v>
      </c>
      <c r="F16" s="1">
        <v>264</v>
      </c>
      <c r="G16" s="1">
        <v>41.3</v>
      </c>
      <c r="H16" s="1">
        <v>1.49</v>
      </c>
      <c r="I16" s="1" t="s">
        <v>34</v>
      </c>
      <c r="J16" s="1">
        <v>1.8857142857142857</v>
      </c>
      <c r="K16" s="1">
        <v>0.52470000000000006</v>
      </c>
    </row>
    <row r="17" spans="1:11" x14ac:dyDescent="0.25">
      <c r="A17" s="4" t="s">
        <v>32</v>
      </c>
      <c r="B17" s="4" t="s">
        <v>2</v>
      </c>
      <c r="C17" s="1">
        <v>39</v>
      </c>
      <c r="D17" s="1">
        <v>98</v>
      </c>
      <c r="E17" s="1">
        <v>92</v>
      </c>
      <c r="F17" s="1">
        <v>202</v>
      </c>
      <c r="G17" s="1">
        <v>41.6</v>
      </c>
      <c r="H17" s="1">
        <v>1.94</v>
      </c>
      <c r="I17" s="1" t="s">
        <v>34</v>
      </c>
      <c r="J17" s="1">
        <f>101/49</f>
        <v>2.0612244897959182</v>
      </c>
      <c r="K17" s="1">
        <v>0.43665999999999999</v>
      </c>
    </row>
    <row r="18" spans="1:11" x14ac:dyDescent="0.25">
      <c r="A18" s="4" t="s">
        <v>13</v>
      </c>
      <c r="B18" s="4" t="s">
        <v>5</v>
      </c>
      <c r="C18" s="1">
        <v>188</v>
      </c>
      <c r="D18" s="1">
        <v>522</v>
      </c>
      <c r="E18" s="1">
        <v>21</v>
      </c>
      <c r="F18" s="1">
        <v>50</v>
      </c>
      <c r="G18" s="1">
        <v>55</v>
      </c>
      <c r="H18" s="1">
        <v>1.29</v>
      </c>
      <c r="I18" s="1" t="s">
        <v>35</v>
      </c>
      <c r="J18" s="1">
        <v>9.5785440613026823E-2</v>
      </c>
      <c r="K18" s="1">
        <v>0.3397</v>
      </c>
    </row>
    <row r="19" spans="1:11" x14ac:dyDescent="0.25">
      <c r="A19" s="4" t="s">
        <v>15</v>
      </c>
      <c r="B19" s="4" t="s">
        <v>4</v>
      </c>
      <c r="C19" s="1">
        <v>108</v>
      </c>
      <c r="D19" s="1">
        <v>182</v>
      </c>
      <c r="E19" s="1">
        <v>77</v>
      </c>
      <c r="F19" s="1">
        <v>118</v>
      </c>
      <c r="G19" s="1">
        <v>48.3</v>
      </c>
      <c r="H19" s="1">
        <v>0.87</v>
      </c>
      <c r="I19" s="1" t="s">
        <v>34</v>
      </c>
      <c r="J19" s="1">
        <v>0.64835164835164838</v>
      </c>
      <c r="K19" s="1">
        <v>0.60270000000000001</v>
      </c>
    </row>
    <row r="20" spans="1:11" x14ac:dyDescent="0.25">
      <c r="A20" s="4" t="s">
        <v>12</v>
      </c>
      <c r="B20" s="4" t="s">
        <v>2</v>
      </c>
      <c r="C20" s="1">
        <v>26</v>
      </c>
      <c r="D20" s="1">
        <v>440</v>
      </c>
      <c r="E20" s="1">
        <v>18</v>
      </c>
      <c r="F20" s="1">
        <v>440</v>
      </c>
      <c r="G20" s="1">
        <v>57.1</v>
      </c>
      <c r="H20" s="1">
        <v>1.95</v>
      </c>
      <c r="I20" s="1" t="s">
        <v>34</v>
      </c>
      <c r="J20" s="1">
        <v>1</v>
      </c>
      <c r="K20" s="1">
        <v>0.05</v>
      </c>
    </row>
    <row r="21" spans="1:11" x14ac:dyDescent="0.25">
      <c r="A21" s="4" t="s">
        <v>6</v>
      </c>
      <c r="B21" s="4" t="s">
        <v>2</v>
      </c>
      <c r="C21" s="1">
        <v>31</v>
      </c>
      <c r="D21" s="1">
        <v>58</v>
      </c>
      <c r="E21" s="1">
        <v>29</v>
      </c>
      <c r="F21" s="1">
        <v>108</v>
      </c>
      <c r="G21" s="1">
        <v>43.55</v>
      </c>
      <c r="H21" s="1">
        <v>5.38</v>
      </c>
      <c r="I21" s="1" t="s">
        <v>34</v>
      </c>
      <c r="J21" s="1">
        <v>1.8620689655172413</v>
      </c>
      <c r="K21" s="1">
        <v>0.3614</v>
      </c>
    </row>
    <row r="22" spans="1:11" x14ac:dyDescent="0.25">
      <c r="A22" s="4" t="s">
        <v>9</v>
      </c>
      <c r="B22" s="4" t="s">
        <v>2</v>
      </c>
      <c r="C22" s="1">
        <v>18</v>
      </c>
      <c r="D22" s="1">
        <v>42</v>
      </c>
      <c r="E22" s="1">
        <v>83</v>
      </c>
      <c r="F22" s="1">
        <v>198</v>
      </c>
      <c r="G22" s="1">
        <v>41.33</v>
      </c>
      <c r="H22" s="1">
        <v>0.9</v>
      </c>
      <c r="I22" s="1" t="s">
        <v>34</v>
      </c>
      <c r="J22" s="1">
        <v>4.7142857142857144</v>
      </c>
      <c r="K22" s="1">
        <v>0.42080000000000001</v>
      </c>
    </row>
    <row r="23" spans="1:11" x14ac:dyDescent="0.25">
      <c r="A23" s="4" t="s">
        <v>10</v>
      </c>
      <c r="B23" s="4" t="s">
        <v>2</v>
      </c>
      <c r="C23" s="1">
        <v>12</v>
      </c>
      <c r="D23" s="1">
        <v>28</v>
      </c>
      <c r="E23" s="1">
        <v>13</v>
      </c>
      <c r="F23" s="1">
        <v>40</v>
      </c>
      <c r="G23" s="1">
        <v>13.8</v>
      </c>
      <c r="H23" s="1">
        <v>2.1</v>
      </c>
      <c r="I23" s="1" t="s">
        <v>34</v>
      </c>
      <c r="J23" s="1">
        <v>1.4285714285714286</v>
      </c>
      <c r="K23" s="1">
        <v>0.4032</v>
      </c>
    </row>
    <row r="24" spans="1:11" x14ac:dyDescent="0.25">
      <c r="A24" s="4" t="s">
        <v>22</v>
      </c>
      <c r="B24" s="4" t="s">
        <v>4</v>
      </c>
      <c r="C24" s="1">
        <v>104</v>
      </c>
      <c r="D24" s="1">
        <v>252</v>
      </c>
      <c r="E24" s="1">
        <v>39</v>
      </c>
      <c r="F24" s="1">
        <v>108</v>
      </c>
      <c r="G24" s="1">
        <v>39</v>
      </c>
      <c r="H24" s="1">
        <v>1.39</v>
      </c>
      <c r="I24" s="1" t="s">
        <v>34</v>
      </c>
      <c r="J24" s="1">
        <v>2.3333333333333335</v>
      </c>
      <c r="K24" s="1">
        <v>0.38611000000000001</v>
      </c>
    </row>
  </sheetData>
  <sortState xmlns:xlrd2="http://schemas.microsoft.com/office/spreadsheetml/2017/richdata2" ref="A2:B24">
    <sortCondition ref="A2:A24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rs1800896 vs HVC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tarak dhaouadi</dc:creator>
  <cp:lastModifiedBy>tarak</cp:lastModifiedBy>
  <cp:lastPrinted>2023-12-16T08:05:51Z</cp:lastPrinted>
  <dcterms:created xsi:type="dcterms:W3CDTF">2023-12-12T11:35:36Z</dcterms:created>
  <dcterms:modified xsi:type="dcterms:W3CDTF">2026-10-12T08:31:55Z</dcterms:modified>
</cp:coreProperties>
</file>